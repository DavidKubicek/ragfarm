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dave\Downloads\"/>
    </mc:Choice>
  </mc:AlternateContent>
  <xr:revisionPtr revIDLastSave="0" documentId="13_ncr:1_{6F89DF2B-81EF-4707-8202-CED36E513A80}" xr6:coauthVersionLast="47" xr6:coauthVersionMax="47" xr10:uidLastSave="{00000000-0000-0000-0000-000000000000}"/>
  <bookViews>
    <workbookView xWindow="-113" yWindow="-113" windowWidth="24267" windowHeight="14526" activeTab="3" xr2:uid="{00000000-000D-0000-FFFF-FFFF00000000}"/>
  </bookViews>
  <sheets>
    <sheet name="New DC" sheetId="1" r:id="rId1"/>
    <sheet name="Stacked" sheetId="3" r:id="rId2"/>
    <sheet name="Plain" sheetId="4" r:id="rId3"/>
    <sheet name="Old DC" sheetId="2" r:id="rId4"/>
  </sheets>
  <definedNames>
    <definedName name="_xlnm._FilterDatabase" localSheetId="0" hidden="1">'New DC'!$A$13:$V$53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DfXhC6r+oNjNhltGLE8DyyXSUCKNCiQHmMqeFBrK6c="/>
    </ext>
  </extLst>
</workbook>
</file>

<file path=xl/calcChain.xml><?xml version="1.0" encoding="utf-8"?>
<calcChain xmlns="http://schemas.openxmlformats.org/spreadsheetml/2006/main">
  <c r="R15" i="3" l="1"/>
  <c r="R14" i="3"/>
  <c r="R13" i="3"/>
  <c r="R12" i="3"/>
  <c r="R11" i="3"/>
  <c r="R10" i="3"/>
  <c r="R9" i="3"/>
  <c r="R7" i="3"/>
  <c r="R6" i="3"/>
  <c r="R5" i="3"/>
  <c r="AF4" i="3"/>
  <c r="AG4" i="3" s="1"/>
  <c r="R4" i="3"/>
  <c r="AF3" i="3"/>
  <c r="R3" i="3"/>
  <c r="AG2" i="3"/>
  <c r="AG5" i="3" s="1"/>
  <c r="AF2" i="3"/>
  <c r="R2" i="3"/>
  <c r="T56" i="1"/>
  <c r="S55" i="1"/>
  <c r="R55" i="1"/>
  <c r="H53" i="1"/>
  <c r="G53" i="1"/>
  <c r="S52" i="1"/>
  <c r="R52" i="1"/>
  <c r="S51" i="1"/>
  <c r="R51" i="1"/>
  <c r="S50" i="1"/>
  <c r="R50" i="1"/>
  <c r="S49" i="1"/>
  <c r="R49" i="1"/>
  <c r="S48" i="1"/>
  <c r="R48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U33" i="1"/>
  <c r="U56" i="1" s="1"/>
  <c r="S33" i="1"/>
  <c r="R33" i="1"/>
  <c r="S31" i="1"/>
  <c r="R31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1" i="1"/>
  <c r="R21" i="1"/>
  <c r="S19" i="1"/>
  <c r="R19" i="1"/>
  <c r="S18" i="1"/>
  <c r="R18" i="1"/>
  <c r="S17" i="1"/>
  <c r="R17" i="1"/>
  <c r="AF16" i="1"/>
  <c r="AG16" i="1" s="1"/>
  <c r="S16" i="1"/>
  <c r="R16" i="1"/>
  <c r="AF15" i="1"/>
  <c r="S15" i="1"/>
  <c r="R15" i="1"/>
  <c r="AG14" i="1"/>
  <c r="AG17" i="1" s="1"/>
  <c r="AF14" i="1"/>
  <c r="S14" i="1"/>
  <c r="R14" i="1"/>
  <c r="R9" i="1"/>
  <c r="R8" i="1"/>
  <c r="R7" i="1"/>
  <c r="R6" i="1"/>
  <c r="R5" i="1"/>
  <c r="R4" i="1"/>
  <c r="S4" i="3"/>
  <c r="S6" i="3"/>
  <c r="S3" i="3"/>
  <c r="S7" i="3"/>
  <c r="S2" i="3"/>
  <c r="S5" i="3"/>
  <c r="S9" i="3"/>
  <c r="S11" i="3"/>
  <c r="S12" i="3"/>
  <c r="S15" i="3"/>
  <c r="S13" i="3"/>
  <c r="S10" i="3"/>
  <c r="S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13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ID#AAAB25TKNvQ
tc={90C39406-E2C5-4D6A-B2D1-2A3425FB87CD}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To be specified by Eywo/ŠA</t>
        </r>
      </text>
    </comment>
    <comment ref="T19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ID#AAAB25TKNvM
tc={6129E5A1-38DD-4C15-8924-12A28824CC4E}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EPC rozhode, zda se rozdělí na „C: a D:"</t>
        </r>
      </text>
    </comment>
    <comment ref="G27" authorId="0" shapeId="0" xr:uid="{00000000-0006-0000-0000-000009000000}">
      <text>
        <r>
          <rPr>
            <sz val="11"/>
            <color theme="1"/>
            <rFont val="Aptos Narrow"/>
            <scheme val="minor"/>
          </rPr>
          <t>======
ID#AAAB0QkkcWQ
Marek Česal    (2026-02-13 13:11:43)
pokud neni 24 tak dat 16</t>
        </r>
      </text>
    </comment>
    <comment ref="T29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ID#AAAB25TKNu4
tc={FA43FFD6-8726-498A-B217-5C1DA6D4D8E1}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EPC rozhode, zda se rozdělí na „C: a D:"</t>
        </r>
      </text>
    </comment>
    <comment ref="Q33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ID#AAAB25TKNvI
tc={8A60E89B-A3CC-4A01-9D61-CD560AE69418}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Fileserver cluster bude potřebovat více 6 IP  adres</t>
        </r>
      </text>
    </comment>
    <comment ref="U33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ID#AAAB25TKNvA
tc={9CDCDEC4-1AFF-4D12-89B8-9E5EBE2BCFFA}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2x share do všech prostředí, v rámci share si rozdělení dat mezi prostředí řídí EPC</t>
        </r>
      </text>
    </comment>
    <comment ref="G42" authorId="0" shapeId="0" xr:uid="{00000000-0006-0000-0000-000008000000}">
      <text>
        <r>
          <rPr>
            <sz val="11"/>
            <color theme="1"/>
            <rFont val="Aptos Narrow"/>
            <scheme val="minor"/>
          </rPr>
          <t>======
ID#AAAB0QkkcWY
Marek Česal    (2026-02-13 13:11:43)
pokud neni 24 tak dat 32</t>
        </r>
      </text>
    </comment>
    <comment ref="T45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ID#AAAB25TKNu8
tc={0FC42D63-8D13-4D49-8BF5-1615CEF75B40}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EPC rozhode, zda se rozdělí na „C: a D:"</t>
        </r>
      </text>
    </comment>
    <comment ref="Q50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ID#AAAB25TKNvE
tc={827B28FB-378D-4662-B541-6C78557B7B63}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Primary VIP - 172.20.231.80
Standby VIP - 172.20.231.81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6oKoGrLEBGdHQEnIFHWvzIwFs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1" authorId="0" shapeId="0" xr:uid="{5B64E5D3-B963-4EDC-8450-7897BAC6E4B9}">
      <text>
        <r>
          <rPr>
            <sz val="11"/>
            <color theme="1"/>
            <rFont val="Aptos Narrow"/>
            <scheme val="minor"/>
          </rPr>
          <t>======
ID#AAAB25TKNvQ
tc={90C39406-E2C5-4D6A-B2D1-2A3425FB87CD}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To be specified by Eywo/ŠA</t>
        </r>
      </text>
    </comment>
    <comment ref="T7" authorId="0" shapeId="0" xr:uid="{44C36049-63CA-4389-9F54-FA6C3E6DDB76}">
      <text>
        <r>
          <rPr>
            <sz val="11"/>
            <color theme="1"/>
            <rFont val="Aptos Narrow"/>
            <scheme val="minor"/>
          </rPr>
          <t>======
ID#AAAB25TKNvM
tc={6129E5A1-38DD-4C15-8924-12A28824CC4E}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EPC rozhode, zda se rozdělí na „C: a D:"</t>
        </r>
      </text>
    </comment>
    <comment ref="S8" authorId="0" shapeId="0" xr:uid="{BBCEDF87-B6A5-493F-B213-D9B310C9404F}">
      <text>
        <r>
          <rPr>
            <sz val="11"/>
            <color theme="1"/>
            <rFont val="Aptos Narrow"/>
            <scheme val="minor"/>
          </rPr>
          <t>======
ID#AAAB25TKNvQ
tc={90C39406-E2C5-4D6A-B2D1-2A3425FB87CD}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To be specified by Eywo/ŠA</t>
        </r>
      </text>
    </comment>
    <comment ref="G13" authorId="0" shapeId="0" xr:uid="{A706CA8A-0A96-4921-A80E-80D94B475483}">
      <text>
        <r>
          <rPr>
            <sz val="11"/>
            <color theme="1"/>
            <rFont val="Aptos Narrow"/>
            <scheme val="minor"/>
          </rPr>
          <t>======
ID#AAAB0QkkcWQ
Marek Česal    (2026-02-13 13:11:43)
pokud neni 24 tak dat 16</t>
        </r>
      </text>
    </comment>
    <comment ref="T15" authorId="0" shapeId="0" xr:uid="{01C9C5F0-418C-4C3A-B9DC-30475B2E9508}">
      <text>
        <r>
          <rPr>
            <sz val="11"/>
            <color theme="1"/>
            <rFont val="Aptos Narrow"/>
            <scheme val="minor"/>
          </rPr>
          <t>======
ID#AAAB25TKNu4
tc={FA43FFD6-8726-498A-B217-5C1DA6D4D8E1}    (2026-04-01 08:30:28)
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EPC rozhode, zda se rozdělí na „C: a D:"</t>
        </r>
      </text>
    </comment>
  </commentList>
</comments>
</file>

<file path=xl/sharedStrings.xml><?xml version="1.0" encoding="utf-8"?>
<sst xmlns="http://schemas.openxmlformats.org/spreadsheetml/2006/main" count="1246" uniqueCount="390">
  <si>
    <t>servers/VMs</t>
  </si>
  <si>
    <t>VM up to 4 cores, 32GB RAM</t>
  </si>
  <si>
    <t>VM up to 16 cores, 64GB RAM</t>
  </si>
  <si>
    <t>VM up to 32 cores, 128GB RAM</t>
  </si>
  <si>
    <t>num servers</t>
  </si>
  <si>
    <t>VLAN ID</t>
  </si>
  <si>
    <t>network</t>
  </si>
  <si>
    <t>mask</t>
  </si>
  <si>
    <t>H-00001-TST1-001</t>
  </si>
  <si>
    <t>172.20.231.160</t>
  </si>
  <si>
    <t>/27</t>
  </si>
  <si>
    <t>Oracle</t>
  </si>
  <si>
    <t>Oracle vms 8cores, 64GB RAM</t>
  </si>
  <si>
    <t>H-00001-ACC1-001 </t>
  </si>
  <si>
    <t>172.20.231.128</t>
  </si>
  <si>
    <t>Oracle vms 16cores, 128GB RAM</t>
  </si>
  <si>
    <t>H-00001-PRD1-001 </t>
  </si>
  <si>
    <t>172.20.231.96</t>
  </si>
  <si>
    <t>H-00001-DB01-001 </t>
  </si>
  <si>
    <t>172.20.231.64</t>
  </si>
  <si>
    <t>storage</t>
  </si>
  <si>
    <t>Storage Gold</t>
  </si>
  <si>
    <t>H-00001-JMP1-001 </t>
  </si>
  <si>
    <t>172.20.231.0</t>
  </si>
  <si>
    <t>Storage Silver</t>
  </si>
  <si>
    <t>H-00001-SVC1-001 </t>
  </si>
  <si>
    <t>172.20.231.32</t>
  </si>
  <si>
    <t>Storage Bronze</t>
  </si>
  <si>
    <t>Backup Storage</t>
  </si>
  <si>
    <t>T-S</t>
  </si>
  <si>
    <t>SA</t>
  </si>
  <si>
    <t>VM</t>
  </si>
  <si>
    <t>Prostředí</t>
  </si>
  <si>
    <t>OS</t>
  </si>
  <si>
    <t>Virtualizace</t>
  </si>
  <si>
    <t>Storage</t>
  </si>
  <si>
    <t>vCPU (vCPU)</t>
  </si>
  <si>
    <t>vCPU</t>
  </si>
  <si>
    <t>RAM (GB)</t>
  </si>
  <si>
    <t>HDD (TB)</t>
  </si>
  <si>
    <t>Support</t>
  </si>
  <si>
    <t>Hostname</t>
  </si>
  <si>
    <t>IP address</t>
  </si>
  <si>
    <t>Netmask</t>
  </si>
  <si>
    <t>domain suffix</t>
  </si>
  <si>
    <t>Storage OS [GiB]</t>
  </si>
  <si>
    <t>Storage App/Data [GiB]</t>
  </si>
  <si>
    <t>App/Data Directories/Filesystems</t>
  </si>
  <si>
    <t>UID</t>
  </si>
  <si>
    <t>Cassandra 1</t>
  </si>
  <si>
    <t>Test</t>
  </si>
  <si>
    <t>Red Hat 8</t>
  </si>
  <si>
    <t>KVM</t>
  </si>
  <si>
    <t>Huawei</t>
  </si>
  <si>
    <t>4(8)</t>
  </si>
  <si>
    <t>5/12</t>
  </si>
  <si>
    <t>DFLEA280</t>
  </si>
  <si>
    <t>10.123.142.100</t>
  </si>
  <si>
    <t>tstlcass1</t>
  </si>
  <si>
    <t>epcomm.cz</t>
  </si>
  <si>
    <t>172.20.231.190</t>
  </si>
  <si>
    <t>/global</t>
  </si>
  <si>
    <t>aol:users (16573)</t>
  </si>
  <si>
    <t>i_cus_lv_per</t>
  </si>
  <si>
    <t>pers, hyperswap</t>
  </si>
  <si>
    <t>Cassandra 2</t>
  </si>
  <si>
    <t>DFLEA281</t>
  </si>
  <si>
    <t>10.123.142.101</t>
  </si>
  <si>
    <t>tstlcass2</t>
  </si>
  <si>
    <t>172.20.231.189</t>
  </si>
  <si>
    <t>pers, non-hyperswap</t>
  </si>
  <si>
    <t>Cassandra 3</t>
  </si>
  <si>
    <t>DFLEA282</t>
  </si>
  <si>
    <t>10.123.142.102</t>
  </si>
  <si>
    <t>tstlcass3</t>
  </si>
  <si>
    <t>172.20.231.188</t>
  </si>
  <si>
    <t>s_cus_lv</t>
  </si>
  <si>
    <t>non-pers</t>
  </si>
  <si>
    <t>Rabbit MQ</t>
  </si>
  <si>
    <t>DFLEA283</t>
  </si>
  <si>
    <t>10.123.142.103</t>
  </si>
  <si>
    <t>tstlamqp</t>
  </si>
  <si>
    <t>172.20.231.187</t>
  </si>
  <si>
    <t>aol:users (16573); rabbitmq</t>
  </si>
  <si>
    <t>main AOT apps</t>
  </si>
  <si>
    <t>DFLEA284</t>
  </si>
  <si>
    <t>10.123.142.104</t>
  </si>
  <si>
    <t>tstlsto</t>
  </si>
  <si>
    <t>172.20.231.186</t>
  </si>
  <si>
    <t>/global (300G); /logs (150G)</t>
  </si>
  <si>
    <t>Camels</t>
  </si>
  <si>
    <t>Windows server 2022</t>
  </si>
  <si>
    <t>Hitachi</t>
  </si>
  <si>
    <t>DFLEA285</t>
  </si>
  <si>
    <t>10.123.142.105</t>
  </si>
  <si>
    <t>tstwcamel</t>
  </si>
  <si>
    <t>172.20.231.185</t>
  </si>
  <si>
    <t>Jump server</t>
  </si>
  <si>
    <t>ACC+Test</t>
  </si>
  <si>
    <t>DFLEA204</t>
  </si>
  <si>
    <t>10.123.137.5</t>
  </si>
  <si>
    <t>/24</t>
  </si>
  <si>
    <t>tstwjump1</t>
  </si>
  <si>
    <t>172.20.231.30</t>
  </si>
  <si>
    <t>ACC/UAT</t>
  </si>
  <si>
    <t>7/12</t>
  </si>
  <si>
    <t>DFLEA237</t>
  </si>
  <si>
    <t>10.123.142.70</t>
  </si>
  <si>
    <t>acclcass1</t>
  </si>
  <si>
    <t>172.20.231.158</t>
  </si>
  <si>
    <t>DFLEA238</t>
  </si>
  <si>
    <t>10.123.142.71</t>
  </si>
  <si>
    <t>acclcass2</t>
  </si>
  <si>
    <t>172.20.231.157</t>
  </si>
  <si>
    <t>DFLEA239</t>
  </si>
  <si>
    <t>10.123.142.72</t>
  </si>
  <si>
    <t>acclcass3</t>
  </si>
  <si>
    <t>172.20.231.156</t>
  </si>
  <si>
    <t>RabbitMQ</t>
  </si>
  <si>
    <t>DFLEA240</t>
  </si>
  <si>
    <t>10.123.142.73</t>
  </si>
  <si>
    <t>acclamqp</t>
  </si>
  <si>
    <t>172.20.231.155</t>
  </si>
  <si>
    <t>DFLEA241</t>
  </si>
  <si>
    <t>10.123.142.74</t>
  </si>
  <si>
    <t>acclsto</t>
  </si>
  <si>
    <t>172.20.231.154</t>
  </si>
  <si>
    <t>Prometheus</t>
  </si>
  <si>
    <t>DFLEA242</t>
  </si>
  <si>
    <t>10.123.142.75</t>
  </si>
  <si>
    <t>acclprom</t>
  </si>
  <si>
    <t>172.20.231.153</t>
  </si>
  <si>
    <t>DFLEA243</t>
  </si>
  <si>
    <t>10.123.142.68</t>
  </si>
  <si>
    <t>accwcamel</t>
  </si>
  <si>
    <t>172.20.231.152</t>
  </si>
  <si>
    <t>PROD</t>
  </si>
  <si>
    <t>DFLEA205</t>
  </si>
  <si>
    <t>10.123.137.6</t>
  </si>
  <si>
    <t>prdwjump1</t>
  </si>
  <si>
    <t>172.20.231.29</t>
  </si>
  <si>
    <t>separatni subnet</t>
  </si>
  <si>
    <t>Fileshare server</t>
  </si>
  <si>
    <t>7/24</t>
  </si>
  <si>
    <t>tojepase</t>
  </si>
  <si>
    <t>172.20.231.62</t>
  </si>
  <si>
    <t>separatni subnet dostupny ze vsech prostredi + Azure</t>
  </si>
  <si>
    <t>Cassandra1</t>
  </si>
  <si>
    <t>DFLEA257</t>
  </si>
  <si>
    <t>10.123.142.36</t>
  </si>
  <si>
    <t>prdlcass1</t>
  </si>
  <si>
    <t>172.20.231.126</t>
  </si>
  <si>
    <t>Cassandra2</t>
  </si>
  <si>
    <t>DFLEA258</t>
  </si>
  <si>
    <t>10.123.142.37</t>
  </si>
  <si>
    <t>prdlcass2</t>
  </si>
  <si>
    <t>172.20.231.125</t>
  </si>
  <si>
    <t>Cassandra3</t>
  </si>
  <si>
    <t>DFLEA259</t>
  </si>
  <si>
    <t>10.123.142.38</t>
  </si>
  <si>
    <t>prdlcass3</t>
  </si>
  <si>
    <t>172.20.231.124</t>
  </si>
  <si>
    <t>Cassandra4</t>
  </si>
  <si>
    <t>DFLEA260</t>
  </si>
  <si>
    <t>10.123.142.39</t>
  </si>
  <si>
    <t>prdlcass4</t>
  </si>
  <si>
    <t>172.20.231.123</t>
  </si>
  <si>
    <t>Cassandra5</t>
  </si>
  <si>
    <t>DFLEA261</t>
  </si>
  <si>
    <t>10.123.142.40</t>
  </si>
  <si>
    <t>prdlcass5</t>
  </si>
  <si>
    <t>172.20.231.122</t>
  </si>
  <si>
    <t>Cassandra6</t>
  </si>
  <si>
    <t>DFLEA262</t>
  </si>
  <si>
    <t>10.123.142.41</t>
  </si>
  <si>
    <t>prdlcass6</t>
  </si>
  <si>
    <t>172.20.231.121</t>
  </si>
  <si>
    <t>DFLEA266</t>
  </si>
  <si>
    <t>10.123.142.42</t>
  </si>
  <si>
    <t>prdlamqp</t>
  </si>
  <si>
    <t>172.20.231.120</t>
  </si>
  <si>
    <t>DFLEA270</t>
  </si>
  <si>
    <t>10.123.142.48</t>
  </si>
  <si>
    <t>prdlsto</t>
  </si>
  <si>
    <t>172.20.231.119</t>
  </si>
  <si>
    <t>Wildfly TEO server</t>
  </si>
  <si>
    <t>DFLEA265</t>
  </si>
  <si>
    <t>10.123.142.43</t>
  </si>
  <si>
    <t>prdlteo</t>
  </si>
  <si>
    <t>172.20.231.118</t>
  </si>
  <si>
    <t>DFLEA264</t>
  </si>
  <si>
    <t>10.123.142.44</t>
  </si>
  <si>
    <t>prdlprom</t>
  </si>
  <si>
    <t>172.20.231.117</t>
  </si>
  <si>
    <t>DFLEA263</t>
  </si>
  <si>
    <t>10.123.142.47</t>
  </si>
  <si>
    <t>prdwcamel</t>
  </si>
  <si>
    <t>172.20.231.116</t>
  </si>
  <si>
    <t>Oracle database servers</t>
  </si>
  <si>
    <t>TEST Oracle 19</t>
  </si>
  <si>
    <t>Oracle Linux 8</t>
  </si>
  <si>
    <t>DFLEA286</t>
  </si>
  <si>
    <t>10.123.142.196</t>
  </si>
  <si>
    <t>t1laol</t>
  </si>
  <si>
    <t>172.20.231.94</t>
  </si>
  <si>
    <t>ACC Oracle 19</t>
  </si>
  <si>
    <t>DFLEA269</t>
  </si>
  <si>
    <t>10.123.142.166</t>
  </si>
  <si>
    <t>a1laol</t>
  </si>
  <si>
    <t>172.20.231.93</t>
  </si>
  <si>
    <t>PROD Oracle 19</t>
  </si>
  <si>
    <t>DFLEA271</t>
  </si>
  <si>
    <t>10.123.142.132</t>
  </si>
  <si>
    <t>p1laol</t>
  </si>
  <si>
    <t>172.20.231.92</t>
  </si>
  <si>
    <t>Pacemaker (Primary DB) 
DataGuard (Secondary DB)</t>
  </si>
  <si>
    <t>DFLEA272</t>
  </si>
  <si>
    <t>10.123.142.133</t>
  </si>
  <si>
    <t>pb1laol (backup)</t>
  </si>
  <si>
    <t>172.20.231.91</t>
  </si>
  <si>
    <t>pq1laol (quorum)</t>
  </si>
  <si>
    <t>172.20.231.90</t>
  </si>
  <si>
    <t>AD/DC</t>
  </si>
  <si>
    <t>prdwad1</t>
  </si>
  <si>
    <t>172.20.231.50</t>
  </si>
  <si>
    <t>Notes:</t>
  </si>
  <si>
    <t>SFTP pravdepodobne nebude</t>
  </si>
  <si>
    <t>Oddělená síť pro jump servery (oba pohromadě), z ní přístupy do jednotlivých prostředí specifické pro jednotlivé jump servery</t>
  </si>
  <si>
    <t>Env.</t>
  </si>
  <si>
    <t>Servername</t>
  </si>
  <si>
    <t>IP Address</t>
  </si>
  <si>
    <t>CMO alias</t>
  </si>
  <si>
    <t>Application Name</t>
  </si>
  <si>
    <t>App ID</t>
  </si>
  <si>
    <t>Version</t>
  </si>
  <si>
    <t>CPU</t>
  </si>
  <si>
    <t>RAM</t>
  </si>
  <si>
    <t>HDD size</t>
  </si>
  <si>
    <t>SLA</t>
  </si>
  <si>
    <t>new SLA</t>
  </si>
  <si>
    <t>Patching window</t>
  </si>
  <si>
    <t>Restart conditions</t>
  </si>
  <si>
    <t>sajumpt9601</t>
  </si>
  <si>
    <t>10.123.137.4</t>
  </si>
  <si>
    <t>DFLEA203</t>
  </si>
  <si>
    <t>Jump-VMware-EPC-TST</t>
  </si>
  <si>
    <t>Windows Server </t>
  </si>
  <si>
    <t>Windows Server 2022 Standard</t>
  </si>
  <si>
    <t>100GB</t>
  </si>
  <si>
    <t>fulltime HA</t>
  </si>
  <si>
    <t>Fulltime HA</t>
  </si>
  <si>
    <t>sacas1t9605</t>
  </si>
  <si>
    <t>tstcass1 </t>
  </si>
  <si>
    <t>LEA769</t>
  </si>
  <si>
    <t>Redhat Enterprise Linux 8</t>
  </si>
  <si>
    <t>4 </t>
  </si>
  <si>
    <t>16 </t>
  </si>
  <si>
    <t>200GB</t>
  </si>
  <si>
    <t>Office</t>
  </si>
  <si>
    <t>sacas2t9606</t>
  </si>
  <si>
    <t>tstcass2 </t>
  </si>
  <si>
    <t>sacas3t9607</t>
  </si>
  <si>
    <t>tstcass3 </t>
  </si>
  <si>
    <t>saamqpt9608</t>
  </si>
  <si>
    <t>tstamqp </t>
  </si>
  <si>
    <t>LEA770</t>
  </si>
  <si>
    <t>2 </t>
  </si>
  <si>
    <t>8 </t>
  </si>
  <si>
    <t>20GB</t>
  </si>
  <si>
    <t>sa1stot9609</t>
  </si>
  <si>
    <t>tstlsto </t>
  </si>
  <si>
    <t>STO</t>
  </si>
  <si>
    <t>LET771</t>
  </si>
  <si>
    <t>16(12)</t>
  </si>
  <si>
    <t>64 </t>
  </si>
  <si>
    <t>sacamlt9610</t>
  </si>
  <si>
    <t>tstlcamel </t>
  </si>
  <si>
    <t>Camel</t>
  </si>
  <si>
    <t>LET772 </t>
  </si>
  <si>
    <t>16(8)</t>
  </si>
  <si>
    <t>Acc</t>
  </si>
  <si>
    <t>sajumpa9602</t>
  </si>
  <si>
    <t>Jump-VMware-EPC-ACC</t>
  </si>
  <si>
    <t>sacas1a9612</t>
  </si>
  <si>
    <t>acccass1 </t>
  </si>
  <si>
    <t>RHEL </t>
  </si>
  <si>
    <t>DFLEA237 DFLEA238 and DFLEA239 has to have at least few minutes gap between restart</t>
  </si>
  <si>
    <t>sacas2a9613</t>
  </si>
  <si>
    <t>acccass2 </t>
  </si>
  <si>
    <t>sacas3a9614</t>
  </si>
  <si>
    <t>acccass3 </t>
  </si>
  <si>
    <t>sarbmqa9615</t>
  </si>
  <si>
    <t>accamqp </t>
  </si>
  <si>
    <t>salstoa9616</t>
  </si>
  <si>
    <t>acclsto </t>
  </si>
  <si>
    <t>24(12)</t>
  </si>
  <si>
    <t>saproma9617</t>
  </si>
  <si>
    <t>acclprom </t>
  </si>
  <si>
    <t>LET773 </t>
  </si>
  <si>
    <t>sacamla9618</t>
  </si>
  <si>
    <t>acclcamel </t>
  </si>
  <si>
    <t>sabofta9619</t>
  </si>
  <si>
    <t>10.123.142.69</t>
  </si>
  <si>
    <t>DFLEA244</t>
  </si>
  <si>
    <t>acclbofsto </t>
  </si>
  <si>
    <t>BofitSto</t>
  </si>
  <si>
    <t>LET774 </t>
  </si>
  <si>
    <t>24(28) </t>
  </si>
  <si>
    <t>128(160)</t>
  </si>
  <si>
    <t>150GB</t>
  </si>
  <si>
    <t>Prod</t>
  </si>
  <si>
    <t>sajumpp9603</t>
  </si>
  <si>
    <t>Jump-VMware-EPC-Prod</t>
  </si>
  <si>
    <t>Fulltime HA DR</t>
  </si>
  <si>
    <t>sacas1p9621</t>
  </si>
  <si>
    <t>prdcass1</t>
  </si>
  <si>
    <t>DFLEA257 DFLEA258, DFLEA259,DFLEA260,DFLEA261,DFLEA262 has to have at least few minutes gap between restart</t>
  </si>
  <si>
    <t>sacas2p9622</t>
  </si>
  <si>
    <t>prdcass2</t>
  </si>
  <si>
    <t>sacas3p9623</t>
  </si>
  <si>
    <t>prdcass3</t>
  </si>
  <si>
    <t>sacas4p9624</t>
  </si>
  <si>
    <t>prdcass4</t>
  </si>
  <si>
    <t>Cassandra 4</t>
  </si>
  <si>
    <t>sacas5p9625</t>
  </si>
  <si>
    <t>prdcass5</t>
  </si>
  <si>
    <t>Cassandra 5</t>
  </si>
  <si>
    <t>sacas6p9626</t>
  </si>
  <si>
    <t>prdcass6</t>
  </si>
  <si>
    <t>Cassandra 6</t>
  </si>
  <si>
    <t>sarbmqp9627</t>
  </si>
  <si>
    <t>prdamqp</t>
  </si>
  <si>
    <t>salstop9628</t>
  </si>
  <si>
    <t>24 (16)</t>
  </si>
  <si>
    <t>128 </t>
  </si>
  <si>
    <t>sateo5p9629</t>
  </si>
  <si>
    <t>Wildfly TEO5</t>
  </si>
  <si>
    <t>LEA775 </t>
  </si>
  <si>
    <t>sapromp9630</t>
  </si>
  <si>
    <t>sacamlp9631</t>
  </si>
  <si>
    <t>prdlcamel</t>
  </si>
  <si>
    <t>sabofsp9632</t>
  </si>
  <si>
    <t>10.123.142.46</t>
  </si>
  <si>
    <t>DFLEA267</t>
  </si>
  <si>
    <t>prdlbofsto</t>
  </si>
  <si>
    <t>Bofit STO</t>
  </si>
  <si>
    <t>LEA777 </t>
  </si>
  <si>
    <t>zrusen</t>
  </si>
  <si>
    <t>saboftp9633</t>
  </si>
  <si>
    <t>10.123.142.45</t>
  </si>
  <si>
    <t>DFLEA268</t>
  </si>
  <si>
    <t>prdlbofteo</t>
  </si>
  <si>
    <t>Bofit TEO</t>
  </si>
  <si>
    <t>LEA776</t>
  </si>
  <si>
    <t>10GB</t>
  </si>
  <si>
    <t>HDD</t>
  </si>
  <si>
    <t>ORA-PCA</t>
  </si>
  <si>
    <t>sajumpo9604</t>
  </si>
  <si>
    <t>10.123.137.7</t>
  </si>
  <si>
    <t>DFLEA206</t>
  </si>
  <si>
    <t>Oracle-PCA Jump server</t>
  </si>
  <si>
    <t>Windows Server</t>
  </si>
  <si>
    <t>250GB</t>
  </si>
  <si>
    <t>no conditionn between 17:00-5:00</t>
  </si>
  <si>
    <t>sb1aolt9611</t>
  </si>
  <si>
    <t>Oracle Linux</t>
  </si>
  <si>
    <t>1000GB</t>
  </si>
  <si>
    <t>Any wednesday between 20:00-22:00 but email has to be sent to cz.prj.epc.aot.ams@cgi.com in working hours 9:00-17:00 GMT+1 (Prague/Berlin) </t>
  </si>
  <si>
    <t>sb1aola9620</t>
  </si>
  <si>
    <t>sb1aolp9634</t>
  </si>
  <si>
    <t>Fulltime DR</t>
  </si>
  <si>
    <t>Cannot be restarted without EPC approval</t>
  </si>
  <si>
    <t>p1laol (backup)</t>
  </si>
  <si>
    <t>stacked1</t>
  </si>
  <si>
    <t>stacked2</t>
  </si>
  <si>
    <t>stacked3</t>
  </si>
  <si>
    <t>stacked4</t>
  </si>
  <si>
    <t>stacked5</t>
  </si>
  <si>
    <t>stacked6</t>
  </si>
  <si>
    <t>stacked7</t>
  </si>
  <si>
    <t>stacked8</t>
  </si>
  <si>
    <t>stacked9</t>
  </si>
  <si>
    <t>stacked10</t>
  </si>
  <si>
    <t>stacked11</t>
  </si>
  <si>
    <t>stacked12</t>
  </si>
  <si>
    <t>stacked13</t>
  </si>
  <si>
    <t>plain1</t>
  </si>
  <si>
    <t>plain2</t>
  </si>
  <si>
    <t>plain3</t>
  </si>
  <si>
    <t>plain4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</si>
</sst>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sz val="11"/>
      <color theme="1"/>
      <name val="Aptos Narrow"/>
      <scheme val="minor"/>
    </font>
    <font>
      <sz val="10"/>
      <color rgb="FF000000"/>
      <name val="Arial"/>
    </font>
    <font>
      <sz val="10"/>
      <color theme="1"/>
      <name val="Aptos Narrow"/>
    </font>
    <font>
      <b/>
      <sz val="11"/>
      <color theme="1"/>
      <name val="Aptos Narrow"/>
    </font>
    <font>
      <sz val="11"/>
      <color theme="1"/>
      <name val="Arial"/>
    </font>
    <font>
      <b/>
      <sz val="10"/>
      <color rgb="FF292A2E"/>
      <name val="Quattrocento Sans"/>
    </font>
    <font>
      <sz val="10"/>
      <color rgb="FF292A2E"/>
      <name val="Quattrocento Sans"/>
    </font>
    <font>
      <strike/>
      <sz val="10"/>
      <color rgb="FF292A2E"/>
      <name val="Quattrocento Sans"/>
    </font>
    <font>
      <strike/>
      <sz val="10"/>
      <color rgb="FFC9372C"/>
      <name val="Quattrocento Sans"/>
    </font>
    <font>
      <u/>
      <sz val="11"/>
      <color theme="10"/>
      <name val="Aptos Narrow"/>
    </font>
    <font>
      <sz val="8"/>
      <name val="Aptos Narrow"/>
      <scheme val="minor"/>
    </font>
    <font>
      <sz val="10"/>
      <name val="Quattrocento Sans"/>
      <family val="2"/>
    </font>
    <font>
      <sz val="11"/>
      <name val="Quattrocento Sans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4F5F7"/>
        <bgColor rgb="FFF4F5F7"/>
      </patternFill>
    </fill>
    <fill>
      <patternFill patternType="solid">
        <fgColor rgb="FFF0F1F2"/>
        <bgColor rgb="FFF0F1F2"/>
      </patternFill>
    </fill>
    <fill>
      <patternFill patternType="solid">
        <fgColor rgb="FFFFFFFF"/>
        <bgColor rgb="FFFFFFFF"/>
      </patternFill>
    </fill>
    <fill>
      <patternFill patternType="solid">
        <fgColor rgb="FF57D9A3"/>
        <bgColor rgb="FF57D9A3"/>
      </patternFill>
    </fill>
    <fill>
      <patternFill patternType="solid">
        <fgColor rgb="FFFFFAE6"/>
        <bgColor rgb="FFFFFAE6"/>
      </patternFill>
    </fill>
    <fill>
      <patternFill patternType="solid">
        <fgColor rgb="FFFFC400"/>
        <bgColor rgb="FFFFC400"/>
      </patternFill>
    </fill>
    <fill>
      <patternFill patternType="solid">
        <fgColor rgb="FF4BCE97"/>
        <bgColor rgb="FF4BCE97"/>
      </patternFill>
    </fill>
    <fill>
      <patternFill patternType="solid">
        <fgColor rgb="FFFEF7C8"/>
        <bgColor rgb="FFFEF7C8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DDDEE1"/>
      </left>
      <right/>
      <top style="medium">
        <color rgb="FFDDDEE1"/>
      </top>
      <bottom/>
      <diagonal/>
    </border>
    <border>
      <left style="medium">
        <color rgb="FFDDDEE1"/>
      </left>
      <right style="medium">
        <color rgb="FFDDDEE1"/>
      </right>
      <top style="medium">
        <color rgb="FFDDDEE1"/>
      </top>
      <bottom/>
      <diagonal/>
    </border>
    <border>
      <left style="medium">
        <color rgb="FFDDDEE1"/>
      </left>
      <right/>
      <top style="medium">
        <color rgb="FFDDDEE1"/>
      </top>
      <bottom style="medium">
        <color rgb="FFDDDEE1"/>
      </bottom>
      <diagonal/>
    </border>
    <border>
      <left style="medium">
        <color rgb="FFDDDEE1"/>
      </left>
      <right style="medium">
        <color rgb="FFDDDEE1"/>
      </right>
      <top style="medium">
        <color rgb="FFDDDEE1"/>
      </top>
      <bottom style="medium">
        <color rgb="FFDDDEE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0" xfId="0" applyFont="1"/>
    <xf numFmtId="0" fontId="1" fillId="3" borderId="6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quotePrefix="1" applyFont="1"/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16" fontId="1" fillId="5" borderId="4" xfId="0" quotePrefix="1" applyNumberFormat="1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16" fontId="1" fillId="6" borderId="4" xfId="0" quotePrefix="1" applyNumberFormat="1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1" fillId="7" borderId="4" xfId="0" quotePrefix="1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17" fontId="1" fillId="8" borderId="4" xfId="0" quotePrefix="1" applyNumberFormat="1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17" fontId="1" fillId="8" borderId="4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8" fillId="9" borderId="11" xfId="0" applyFont="1" applyFill="1" applyBorder="1" applyAlignment="1">
      <alignment horizontal="left" vertical="center" wrapText="1"/>
    </xf>
    <xf numFmtId="0" fontId="8" fillId="10" borderId="11" xfId="0" applyFont="1" applyFill="1" applyBorder="1" applyAlignment="1">
      <alignment horizontal="left" vertical="center" wrapText="1"/>
    </xf>
    <xf numFmtId="0" fontId="8" fillId="10" borderId="12" xfId="0" applyFont="1" applyFill="1" applyBorder="1" applyAlignment="1">
      <alignment horizontal="left" vertical="center" wrapText="1"/>
    </xf>
    <xf numFmtId="0" fontId="9" fillId="11" borderId="11" xfId="0" applyFont="1" applyFill="1" applyBorder="1" applyAlignment="1">
      <alignment horizontal="left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9" fillId="12" borderId="11" xfId="0" applyFont="1" applyFill="1" applyBorder="1" applyAlignment="1">
      <alignment horizontal="left" vertical="center" wrapText="1"/>
    </xf>
    <xf numFmtId="0" fontId="9" fillId="13" borderId="11" xfId="0" applyFont="1" applyFill="1" applyBorder="1" applyAlignment="1">
      <alignment horizontal="left" vertical="center" wrapText="1"/>
    </xf>
    <xf numFmtId="0" fontId="9" fillId="13" borderId="12" xfId="0" applyFont="1" applyFill="1" applyBorder="1" applyAlignment="1">
      <alignment horizontal="left" vertical="center" wrapText="1"/>
    </xf>
    <xf numFmtId="0" fontId="9" fillId="9" borderId="11" xfId="0" applyFont="1" applyFill="1" applyBorder="1" applyAlignment="1">
      <alignment horizontal="left" vertical="center" wrapText="1"/>
    </xf>
    <xf numFmtId="0" fontId="9" fillId="9" borderId="12" xfId="0" applyFont="1" applyFill="1" applyBorder="1" applyAlignment="1">
      <alignment horizontal="left" vertical="center" wrapText="1"/>
    </xf>
    <xf numFmtId="0" fontId="9" fillId="14" borderId="11" xfId="0" applyFont="1" applyFill="1" applyBorder="1" applyAlignment="1">
      <alignment horizontal="left" vertical="center" wrapText="1"/>
    </xf>
    <xf numFmtId="0" fontId="9" fillId="15" borderId="11" xfId="0" applyFont="1" applyFill="1" applyBorder="1" applyAlignment="1">
      <alignment horizontal="left" vertical="center" wrapText="1"/>
    </xf>
    <xf numFmtId="0" fontId="9" fillId="16" borderId="11" xfId="0" applyFont="1" applyFill="1" applyBorder="1" applyAlignment="1">
      <alignment horizontal="left" vertical="center" wrapText="1"/>
    </xf>
    <xf numFmtId="0" fontId="9" fillId="16" borderId="12" xfId="0" applyFont="1" applyFill="1" applyBorder="1" applyAlignment="1">
      <alignment horizontal="left" vertical="center" wrapText="1"/>
    </xf>
    <xf numFmtId="0" fontId="9" fillId="10" borderId="11" xfId="0" applyFont="1" applyFill="1" applyBorder="1" applyAlignment="1">
      <alignment horizontal="left" vertical="center" wrapText="1"/>
    </xf>
    <xf numFmtId="0" fontId="9" fillId="10" borderId="13" xfId="0" applyFont="1" applyFill="1" applyBorder="1" applyAlignment="1">
      <alignment horizontal="left" vertical="center" wrapText="1"/>
    </xf>
    <xf numFmtId="0" fontId="10" fillId="11" borderId="13" xfId="0" applyFont="1" applyFill="1" applyBorder="1" applyAlignment="1">
      <alignment horizontal="left" vertical="center" wrapText="1"/>
    </xf>
    <xf numFmtId="0" fontId="10" fillId="16" borderId="13" xfId="0" applyFont="1" applyFill="1" applyBorder="1" applyAlignment="1">
      <alignment horizontal="left" vertical="center" wrapText="1"/>
    </xf>
    <xf numFmtId="0" fontId="11" fillId="16" borderId="13" xfId="0" applyFont="1" applyFill="1" applyBorder="1" applyAlignment="1">
      <alignment horizontal="left" vertical="center" wrapText="1"/>
    </xf>
    <xf numFmtId="0" fontId="9" fillId="16" borderId="13" xfId="0" applyFont="1" applyFill="1" applyBorder="1" applyAlignment="1">
      <alignment horizontal="left" vertical="center" wrapText="1"/>
    </xf>
    <xf numFmtId="0" fontId="9" fillId="16" borderId="14" xfId="0" applyFont="1" applyFill="1" applyBorder="1" applyAlignment="1">
      <alignment horizontal="left" vertical="center" wrapText="1"/>
    </xf>
    <xf numFmtId="0" fontId="8" fillId="11" borderId="11" xfId="0" applyFont="1" applyFill="1" applyBorder="1" applyAlignment="1">
      <alignment horizontal="left" vertical="center" wrapText="1"/>
    </xf>
    <xf numFmtId="0" fontId="8" fillId="11" borderId="12" xfId="0" applyFont="1" applyFill="1" applyBorder="1" applyAlignment="1">
      <alignment horizontal="left" vertical="center" wrapText="1"/>
    </xf>
    <xf numFmtId="0" fontId="8" fillId="15" borderId="11" xfId="0" applyFont="1" applyFill="1" applyBorder="1" applyAlignment="1">
      <alignment horizontal="left" vertical="center" wrapText="1"/>
    </xf>
    <xf numFmtId="0" fontId="12" fillId="11" borderId="12" xfId="0" applyFont="1" applyFill="1" applyBorder="1" applyAlignment="1">
      <alignment horizontal="left" vertical="center" wrapText="1"/>
    </xf>
    <xf numFmtId="0" fontId="9" fillId="15" borderId="13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9" fillId="11" borderId="14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5" fillId="0" borderId="0" xfId="0" applyFont="1"/>
    <xf numFmtId="0" fontId="16" fillId="5" borderId="4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center" textRotation="90"/>
    </xf>
    <xf numFmtId="0" fontId="2" fillId="0" borderId="3" xfId="0" applyFont="1" applyBorder="1"/>
    <xf numFmtId="0" fontId="2" fillId="0" borderId="5" xfId="0" applyFont="1" applyBorder="1"/>
    <xf numFmtId="0" fontId="5" fillId="2" borderId="7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2" fillId="0" borderId="9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z.prj.epc.aot.ams@cg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workbookViewId="0">
      <selection activeCell="A23" sqref="A23:XFD29"/>
    </sheetView>
  </sheetViews>
  <sheetFormatPr defaultColWidth="12.6640625" defaultRowHeight="15.05" customHeight="1" x14ac:dyDescent="0.3"/>
  <cols>
    <col min="1" max="1" width="14.109375" customWidth="1"/>
    <col min="2" max="2" width="27.21875" customWidth="1"/>
    <col min="3" max="3" width="17.6640625" customWidth="1"/>
    <col min="4" max="4" width="10.6640625" hidden="1" customWidth="1"/>
    <col min="5" max="6" width="7.77734375" hidden="1" customWidth="1"/>
    <col min="7" max="7" width="7.77734375" customWidth="1"/>
    <col min="8" max="8" width="11.88671875" customWidth="1"/>
    <col min="9" max="10" width="7.77734375" hidden="1" customWidth="1"/>
    <col min="11" max="11" width="6.77734375" hidden="1" customWidth="1"/>
    <col min="12" max="12" width="10.21875" hidden="1" customWidth="1"/>
    <col min="13" max="13" width="12.109375" hidden="1" customWidth="1"/>
    <col min="14" max="14" width="7.44140625" hidden="1" customWidth="1"/>
    <col min="15" max="15" width="13.77734375" customWidth="1"/>
    <col min="16" max="16" width="18.6640625" customWidth="1"/>
    <col min="17" max="17" width="15" customWidth="1"/>
    <col min="18" max="18" width="9.33203125" customWidth="1"/>
    <col min="19" max="19" width="6.6640625" customWidth="1"/>
    <col min="20" max="20" width="12.33203125" customWidth="1"/>
    <col min="21" max="21" width="17.77734375" customWidth="1"/>
    <col min="22" max="22" width="26" customWidth="1"/>
    <col min="23" max="23" width="22.21875" customWidth="1"/>
    <col min="24" max="27" width="7.6640625" customWidth="1"/>
    <col min="28" max="28" width="9.88671875" customWidth="1"/>
    <col min="29" max="29" width="16.88671875" customWidth="1"/>
    <col min="30" max="33" width="7.6640625" customWidth="1"/>
  </cols>
  <sheetData>
    <row r="1" spans="1:33" ht="14.25" customHeight="1" x14ac:dyDescent="0.3">
      <c r="A1" s="67" t="s">
        <v>0</v>
      </c>
      <c r="B1" s="1" t="s">
        <v>1</v>
      </c>
      <c r="C1" s="2">
        <v>7</v>
      </c>
    </row>
    <row r="2" spans="1:33" ht="14.25" customHeight="1" x14ac:dyDescent="0.3">
      <c r="A2" s="68"/>
      <c r="B2" s="3" t="s">
        <v>2</v>
      </c>
      <c r="C2" s="4">
        <v>12</v>
      </c>
    </row>
    <row r="3" spans="1:33" ht="56.2" customHeight="1" x14ac:dyDescent="0.3">
      <c r="A3" s="69"/>
      <c r="B3" s="3" t="s">
        <v>3</v>
      </c>
      <c r="C3" s="4">
        <v>8</v>
      </c>
      <c r="R3" s="5" t="s">
        <v>4</v>
      </c>
      <c r="S3" s="5" t="s">
        <v>5</v>
      </c>
      <c r="T3" s="5" t="s">
        <v>6</v>
      </c>
      <c r="U3" s="5" t="s">
        <v>7</v>
      </c>
    </row>
    <row r="4" spans="1:33" ht="14.25" customHeight="1" x14ac:dyDescent="0.3">
      <c r="A4" s="6"/>
      <c r="B4" s="7"/>
      <c r="C4" s="8"/>
      <c r="Q4" s="5" t="s">
        <v>8</v>
      </c>
      <c r="R4" s="5">
        <f t="shared" ref="R4:R9" si="0">COUNTIF($S$14:$S$55,S4)</f>
        <v>6</v>
      </c>
      <c r="S4" s="5">
        <v>606</v>
      </c>
      <c r="T4" s="9" t="s">
        <v>9</v>
      </c>
      <c r="U4" s="10" t="s">
        <v>10</v>
      </c>
    </row>
    <row r="5" spans="1:33" ht="14.25" customHeight="1" x14ac:dyDescent="0.3">
      <c r="A5" s="70" t="s">
        <v>11</v>
      </c>
      <c r="B5" s="3" t="s">
        <v>12</v>
      </c>
      <c r="C5" s="4">
        <v>2</v>
      </c>
      <c r="Q5" s="5" t="s">
        <v>13</v>
      </c>
      <c r="R5" s="5">
        <f t="shared" si="0"/>
        <v>7</v>
      </c>
      <c r="S5" s="5">
        <v>605</v>
      </c>
      <c r="T5" s="9" t="s">
        <v>14</v>
      </c>
      <c r="U5" s="10" t="s">
        <v>10</v>
      </c>
    </row>
    <row r="6" spans="1:33" ht="14.25" customHeight="1" x14ac:dyDescent="0.3">
      <c r="A6" s="69"/>
      <c r="B6" s="3" t="s">
        <v>15</v>
      </c>
      <c r="C6" s="4">
        <v>2</v>
      </c>
      <c r="Q6" s="5" t="s">
        <v>16</v>
      </c>
      <c r="R6" s="5">
        <f t="shared" si="0"/>
        <v>11</v>
      </c>
      <c r="S6" s="5">
        <v>604</v>
      </c>
      <c r="T6" s="9" t="s">
        <v>17</v>
      </c>
      <c r="U6" s="5" t="s">
        <v>10</v>
      </c>
    </row>
    <row r="7" spans="1:33" ht="14.25" customHeight="1" x14ac:dyDescent="0.3">
      <c r="A7" s="11"/>
      <c r="B7" s="12"/>
      <c r="C7" s="13"/>
      <c r="Q7" s="5" t="s">
        <v>18</v>
      </c>
      <c r="R7" s="5">
        <f t="shared" si="0"/>
        <v>5</v>
      </c>
      <c r="S7" s="5">
        <v>603</v>
      </c>
      <c r="T7" s="9" t="s">
        <v>19</v>
      </c>
      <c r="U7" s="10" t="s">
        <v>10</v>
      </c>
    </row>
    <row r="8" spans="1:33" ht="14.25" customHeight="1" x14ac:dyDescent="0.3">
      <c r="A8" s="71" t="s">
        <v>20</v>
      </c>
      <c r="B8" s="3" t="s">
        <v>21</v>
      </c>
      <c r="C8" s="4">
        <v>24</v>
      </c>
      <c r="Q8" s="5" t="s">
        <v>22</v>
      </c>
      <c r="R8" s="5">
        <f t="shared" si="0"/>
        <v>2</v>
      </c>
      <c r="S8" s="5">
        <v>601</v>
      </c>
      <c r="T8" s="9" t="s">
        <v>23</v>
      </c>
      <c r="U8" s="10" t="s">
        <v>10</v>
      </c>
    </row>
    <row r="9" spans="1:33" ht="14.25" customHeight="1" x14ac:dyDescent="0.3">
      <c r="A9" s="68"/>
      <c r="B9" s="3" t="s">
        <v>24</v>
      </c>
      <c r="C9" s="4">
        <v>9</v>
      </c>
      <c r="Q9" s="5" t="s">
        <v>25</v>
      </c>
      <c r="R9" s="5">
        <f t="shared" si="0"/>
        <v>2</v>
      </c>
      <c r="S9" s="5">
        <v>602</v>
      </c>
      <c r="T9" s="9" t="s">
        <v>26</v>
      </c>
      <c r="U9" s="10" t="s">
        <v>10</v>
      </c>
    </row>
    <row r="10" spans="1:33" ht="14.25" customHeight="1" x14ac:dyDescent="0.3">
      <c r="A10" s="68"/>
      <c r="B10" s="3" t="s">
        <v>27</v>
      </c>
      <c r="C10" s="4">
        <v>7</v>
      </c>
    </row>
    <row r="11" spans="1:33" ht="14.25" customHeight="1" x14ac:dyDescent="0.3">
      <c r="A11" s="72"/>
      <c r="B11" s="14" t="s">
        <v>28</v>
      </c>
      <c r="C11" s="15">
        <v>40</v>
      </c>
    </row>
    <row r="12" spans="1:33" ht="14.25" customHeight="1" x14ac:dyDescent="0.3">
      <c r="L12" s="73" t="s">
        <v>29</v>
      </c>
      <c r="M12" s="63"/>
      <c r="N12" s="63"/>
      <c r="O12" s="73" t="s">
        <v>30</v>
      </c>
      <c r="P12" s="63"/>
      <c r="Q12" s="63"/>
      <c r="R12" s="63"/>
      <c r="S12" s="63"/>
    </row>
    <row r="13" spans="1:33" ht="14.25" customHeight="1" x14ac:dyDescent="0.3">
      <c r="A13" s="16" t="s">
        <v>31</v>
      </c>
      <c r="B13" s="16" t="s">
        <v>32</v>
      </c>
      <c r="C13" s="16" t="s">
        <v>33</v>
      </c>
      <c r="D13" s="16" t="s">
        <v>34</v>
      </c>
      <c r="E13" s="16" t="s">
        <v>35</v>
      </c>
      <c r="F13" s="16" t="s">
        <v>36</v>
      </c>
      <c r="G13" s="16" t="s">
        <v>37</v>
      </c>
      <c r="H13" s="16" t="s">
        <v>38</v>
      </c>
      <c r="I13" s="16" t="s">
        <v>38</v>
      </c>
      <c r="J13" s="16" t="s">
        <v>39</v>
      </c>
      <c r="K13" s="16" t="s">
        <v>40</v>
      </c>
      <c r="L13" s="16" t="s">
        <v>41</v>
      </c>
      <c r="M13" s="17" t="s">
        <v>42</v>
      </c>
      <c r="N13" s="17" t="s">
        <v>43</v>
      </c>
      <c r="O13" s="16" t="s">
        <v>41</v>
      </c>
      <c r="P13" s="16" t="s">
        <v>44</v>
      </c>
      <c r="Q13" s="17" t="s">
        <v>42</v>
      </c>
      <c r="R13" s="17" t="s">
        <v>43</v>
      </c>
      <c r="S13" s="17" t="s">
        <v>5</v>
      </c>
      <c r="T13" s="17" t="s">
        <v>45</v>
      </c>
      <c r="U13" s="17" t="s">
        <v>46</v>
      </c>
      <c r="V13" s="17" t="s">
        <v>47</v>
      </c>
      <c r="W13" s="17" t="s">
        <v>48</v>
      </c>
    </row>
    <row r="14" spans="1:33" ht="14.25" customHeight="1" x14ac:dyDescent="0.3">
      <c r="A14" s="18" t="s">
        <v>49</v>
      </c>
      <c r="B14" s="18" t="s">
        <v>50</v>
      </c>
      <c r="C14" s="18" t="s">
        <v>51</v>
      </c>
      <c r="D14" s="18" t="s">
        <v>52</v>
      </c>
      <c r="E14" s="18" t="s">
        <v>53</v>
      </c>
      <c r="F14" s="18" t="s">
        <v>54</v>
      </c>
      <c r="G14" s="18">
        <v>8</v>
      </c>
      <c r="H14" s="18">
        <v>32</v>
      </c>
      <c r="I14" s="18">
        <v>32</v>
      </c>
      <c r="J14" s="18">
        <v>1</v>
      </c>
      <c r="K14" s="19" t="s">
        <v>55</v>
      </c>
      <c r="L14" s="18" t="s">
        <v>56</v>
      </c>
      <c r="M14" s="18" t="s">
        <v>57</v>
      </c>
      <c r="N14" s="18" t="s">
        <v>10</v>
      </c>
      <c r="O14" s="18" t="s">
        <v>58</v>
      </c>
      <c r="P14" s="18" t="s">
        <v>59</v>
      </c>
      <c r="Q14" s="18" t="s">
        <v>60</v>
      </c>
      <c r="R14" s="18" t="str">
        <f t="shared" ref="R14:R19" si="1">IF(ISBLANK($U$4),"",$U$4)</f>
        <v>/27</v>
      </c>
      <c r="S14" s="18">
        <f t="shared" ref="S14:S19" si="2">$S$4</f>
        <v>606</v>
      </c>
      <c r="T14" s="18">
        <v>64</v>
      </c>
      <c r="U14" s="18">
        <v>300</v>
      </c>
      <c r="V14" s="18" t="s">
        <v>61</v>
      </c>
      <c r="W14" s="5" t="s">
        <v>62</v>
      </c>
      <c r="AA14" s="5">
        <v>107</v>
      </c>
      <c r="AB14" s="5" t="s">
        <v>63</v>
      </c>
      <c r="AC14" s="5" t="s">
        <v>64</v>
      </c>
      <c r="AD14" s="5">
        <v>21</v>
      </c>
      <c r="AE14" s="5">
        <v>500</v>
      </c>
      <c r="AF14" s="5">
        <f t="shared" ref="AF14:AF16" si="3">AD14*AE14</f>
        <v>10500</v>
      </c>
      <c r="AG14" s="62">
        <f>SUM(AF14:AF15)</f>
        <v>20740</v>
      </c>
    </row>
    <row r="15" spans="1:33" ht="14.25" customHeight="1" x14ac:dyDescent="0.3">
      <c r="A15" s="18" t="s">
        <v>65</v>
      </c>
      <c r="B15" s="18" t="s">
        <v>50</v>
      </c>
      <c r="C15" s="18" t="s">
        <v>51</v>
      </c>
      <c r="D15" s="18" t="s">
        <v>52</v>
      </c>
      <c r="E15" s="18" t="s">
        <v>53</v>
      </c>
      <c r="F15" s="18" t="s">
        <v>54</v>
      </c>
      <c r="G15" s="18">
        <v>8</v>
      </c>
      <c r="H15" s="18">
        <v>32</v>
      </c>
      <c r="I15" s="18">
        <v>32</v>
      </c>
      <c r="J15" s="18">
        <v>1</v>
      </c>
      <c r="K15" s="19" t="s">
        <v>55</v>
      </c>
      <c r="L15" s="18" t="s">
        <v>66</v>
      </c>
      <c r="M15" s="18" t="s">
        <v>67</v>
      </c>
      <c r="N15" s="18" t="s">
        <v>10</v>
      </c>
      <c r="O15" s="18" t="s">
        <v>68</v>
      </c>
      <c r="P15" s="18" t="s">
        <v>59</v>
      </c>
      <c r="Q15" s="18" t="s">
        <v>69</v>
      </c>
      <c r="R15" s="18" t="str">
        <f t="shared" si="1"/>
        <v>/27</v>
      </c>
      <c r="S15" s="18">
        <f t="shared" si="2"/>
        <v>606</v>
      </c>
      <c r="T15" s="18">
        <v>64</v>
      </c>
      <c r="U15" s="18">
        <v>300</v>
      </c>
      <c r="V15" s="18" t="s">
        <v>61</v>
      </c>
      <c r="W15" s="5" t="s">
        <v>62</v>
      </c>
      <c r="AC15" s="5" t="s">
        <v>70</v>
      </c>
      <c r="AD15" s="5">
        <v>10</v>
      </c>
      <c r="AE15" s="5">
        <v>1024</v>
      </c>
      <c r="AF15" s="5">
        <f t="shared" si="3"/>
        <v>10240</v>
      </c>
      <c r="AG15" s="63"/>
    </row>
    <row r="16" spans="1:33" ht="14.25" customHeight="1" x14ac:dyDescent="0.3">
      <c r="A16" s="18" t="s">
        <v>71</v>
      </c>
      <c r="B16" s="18" t="s">
        <v>50</v>
      </c>
      <c r="C16" s="18" t="s">
        <v>51</v>
      </c>
      <c r="D16" s="18" t="s">
        <v>52</v>
      </c>
      <c r="E16" s="18" t="s">
        <v>53</v>
      </c>
      <c r="F16" s="18" t="s">
        <v>54</v>
      </c>
      <c r="G16" s="18">
        <v>8</v>
      </c>
      <c r="H16" s="18">
        <v>32</v>
      </c>
      <c r="I16" s="18">
        <v>32</v>
      </c>
      <c r="J16" s="18">
        <v>1</v>
      </c>
      <c r="K16" s="19" t="s">
        <v>55</v>
      </c>
      <c r="L16" s="18" t="s">
        <v>72</v>
      </c>
      <c r="M16" s="18" t="s">
        <v>73</v>
      </c>
      <c r="N16" s="18" t="s">
        <v>10</v>
      </c>
      <c r="O16" s="18" t="s">
        <v>74</v>
      </c>
      <c r="P16" s="18" t="s">
        <v>59</v>
      </c>
      <c r="Q16" s="18" t="s">
        <v>75</v>
      </c>
      <c r="R16" s="18" t="str">
        <f t="shared" si="1"/>
        <v>/27</v>
      </c>
      <c r="S16" s="18">
        <f t="shared" si="2"/>
        <v>606</v>
      </c>
      <c r="T16" s="18">
        <v>64</v>
      </c>
      <c r="U16" s="18">
        <v>300</v>
      </c>
      <c r="V16" s="18" t="s">
        <v>61</v>
      </c>
      <c r="W16" s="5" t="s">
        <v>62</v>
      </c>
      <c r="AA16" s="5">
        <v>108</v>
      </c>
      <c r="AB16" s="5" t="s">
        <v>76</v>
      </c>
      <c r="AC16" s="5" t="s">
        <v>77</v>
      </c>
      <c r="AD16" s="5">
        <v>6</v>
      </c>
      <c r="AE16" s="5">
        <v>500</v>
      </c>
      <c r="AF16" s="5">
        <f t="shared" si="3"/>
        <v>3000</v>
      </c>
      <c r="AG16" s="5">
        <f>AF16</f>
        <v>3000</v>
      </c>
    </row>
    <row r="17" spans="1:33" ht="14.25" customHeight="1" x14ac:dyDescent="0.3">
      <c r="A17" s="18" t="s">
        <v>78</v>
      </c>
      <c r="B17" s="18" t="s">
        <v>50</v>
      </c>
      <c r="C17" s="18" t="s">
        <v>51</v>
      </c>
      <c r="D17" s="18" t="s">
        <v>52</v>
      </c>
      <c r="E17" s="18" t="s">
        <v>53</v>
      </c>
      <c r="F17" s="18">
        <v>4</v>
      </c>
      <c r="G17" s="18">
        <v>4</v>
      </c>
      <c r="H17" s="18">
        <v>16</v>
      </c>
      <c r="I17" s="18">
        <v>16</v>
      </c>
      <c r="J17" s="18">
        <v>1</v>
      </c>
      <c r="K17" s="19" t="s">
        <v>55</v>
      </c>
      <c r="L17" s="18" t="s">
        <v>79</v>
      </c>
      <c r="M17" s="18" t="s">
        <v>80</v>
      </c>
      <c r="N17" s="18" t="s">
        <v>10</v>
      </c>
      <c r="O17" s="18" t="s">
        <v>81</v>
      </c>
      <c r="P17" s="18" t="s">
        <v>59</v>
      </c>
      <c r="Q17" s="18" t="s">
        <v>82</v>
      </c>
      <c r="R17" s="18" t="str">
        <f t="shared" si="1"/>
        <v>/27</v>
      </c>
      <c r="S17" s="18">
        <f t="shared" si="2"/>
        <v>606</v>
      </c>
      <c r="T17" s="18">
        <v>64</v>
      </c>
      <c r="U17" s="18">
        <v>20</v>
      </c>
      <c r="V17" s="18" t="s">
        <v>61</v>
      </c>
      <c r="W17" s="5" t="s">
        <v>83</v>
      </c>
      <c r="AG17" s="5">
        <f>SUM(AG14:AG16)</f>
        <v>23740</v>
      </c>
    </row>
    <row r="18" spans="1:33" ht="14.25" customHeight="1" x14ac:dyDescent="0.3">
      <c r="A18" s="18" t="s">
        <v>84</v>
      </c>
      <c r="B18" s="18" t="s">
        <v>50</v>
      </c>
      <c r="C18" s="18" t="s">
        <v>51</v>
      </c>
      <c r="D18" s="18" t="s">
        <v>52</v>
      </c>
      <c r="E18" s="18" t="s">
        <v>53</v>
      </c>
      <c r="F18" s="18">
        <v>16</v>
      </c>
      <c r="G18" s="18">
        <v>16</v>
      </c>
      <c r="H18" s="18">
        <v>64</v>
      </c>
      <c r="I18" s="18">
        <v>64</v>
      </c>
      <c r="J18" s="18">
        <v>1</v>
      </c>
      <c r="K18" s="19" t="s">
        <v>55</v>
      </c>
      <c r="L18" s="18" t="s">
        <v>85</v>
      </c>
      <c r="M18" s="18" t="s">
        <v>86</v>
      </c>
      <c r="N18" s="18" t="s">
        <v>10</v>
      </c>
      <c r="O18" s="18" t="s">
        <v>87</v>
      </c>
      <c r="P18" s="18" t="s">
        <v>59</v>
      </c>
      <c r="Q18" s="18" t="s">
        <v>88</v>
      </c>
      <c r="R18" s="18" t="str">
        <f t="shared" si="1"/>
        <v>/27</v>
      </c>
      <c r="S18" s="18">
        <f t="shared" si="2"/>
        <v>606</v>
      </c>
      <c r="T18" s="18">
        <v>64</v>
      </c>
      <c r="U18" s="18">
        <v>450</v>
      </c>
      <c r="V18" s="18" t="s">
        <v>89</v>
      </c>
      <c r="W18" s="5" t="s">
        <v>62</v>
      </c>
    </row>
    <row r="19" spans="1:33" ht="14.25" customHeight="1" x14ac:dyDescent="0.3">
      <c r="A19" s="18" t="s">
        <v>90</v>
      </c>
      <c r="B19" s="18" t="s">
        <v>50</v>
      </c>
      <c r="C19" s="18" t="s">
        <v>91</v>
      </c>
      <c r="D19" s="18" t="s">
        <v>52</v>
      </c>
      <c r="E19" s="18" t="s">
        <v>92</v>
      </c>
      <c r="F19" s="18">
        <v>16</v>
      </c>
      <c r="G19" s="18">
        <v>16</v>
      </c>
      <c r="H19" s="18">
        <v>64</v>
      </c>
      <c r="I19" s="18">
        <v>64</v>
      </c>
      <c r="J19" s="18">
        <v>1</v>
      </c>
      <c r="K19" s="19" t="s">
        <v>55</v>
      </c>
      <c r="L19" s="18" t="s">
        <v>93</v>
      </c>
      <c r="M19" s="18" t="s">
        <v>94</v>
      </c>
      <c r="N19" s="18" t="s">
        <v>10</v>
      </c>
      <c r="O19" s="18" t="s">
        <v>95</v>
      </c>
      <c r="P19" s="18" t="s">
        <v>59</v>
      </c>
      <c r="Q19" s="18" t="s">
        <v>96</v>
      </c>
      <c r="R19" s="18" t="str">
        <f t="shared" si="1"/>
        <v>/27</v>
      </c>
      <c r="S19" s="18">
        <f t="shared" si="2"/>
        <v>606</v>
      </c>
      <c r="T19" s="18">
        <v>150</v>
      </c>
      <c r="U19" s="18">
        <v>150</v>
      </c>
      <c r="V19" s="18"/>
    </row>
    <row r="20" spans="1:33" ht="14.2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33" ht="14.25" customHeight="1" x14ac:dyDescent="0.3">
      <c r="A21" s="20" t="s">
        <v>97</v>
      </c>
      <c r="B21" s="20" t="s">
        <v>98</v>
      </c>
      <c r="C21" s="20" t="s">
        <v>91</v>
      </c>
      <c r="D21" s="20" t="s">
        <v>52</v>
      </c>
      <c r="E21" s="20" t="s">
        <v>92</v>
      </c>
      <c r="F21" s="20"/>
      <c r="G21" s="20">
        <v>8</v>
      </c>
      <c r="H21" s="20">
        <v>32</v>
      </c>
      <c r="I21" s="20"/>
      <c r="J21" s="20"/>
      <c r="K21" s="20"/>
      <c r="L21" s="20" t="s">
        <v>99</v>
      </c>
      <c r="M21" s="20" t="s">
        <v>100</v>
      </c>
      <c r="N21" s="20" t="s">
        <v>101</v>
      </c>
      <c r="O21" s="20" t="s">
        <v>102</v>
      </c>
      <c r="P21" s="20" t="s">
        <v>59</v>
      </c>
      <c r="Q21" s="20" t="s">
        <v>103</v>
      </c>
      <c r="R21" s="20" t="str">
        <f>IF(ISBLANK($U$8),"",$U$8)</f>
        <v>/27</v>
      </c>
      <c r="S21" s="20">
        <f>$S$8</f>
        <v>601</v>
      </c>
      <c r="T21" s="20">
        <v>64</v>
      </c>
      <c r="U21" s="20">
        <v>100</v>
      </c>
      <c r="V21" s="20"/>
    </row>
    <row r="22" spans="1:33" ht="14.25" customHeight="1" x14ac:dyDescent="0.3"/>
    <row r="23" spans="1:33" ht="14.25" customHeight="1" x14ac:dyDescent="0.3">
      <c r="A23" s="20" t="s">
        <v>49</v>
      </c>
      <c r="B23" s="20" t="s">
        <v>104</v>
      </c>
      <c r="C23" s="20" t="s">
        <v>51</v>
      </c>
      <c r="D23" s="20" t="s">
        <v>52</v>
      </c>
      <c r="E23" s="20" t="s">
        <v>53</v>
      </c>
      <c r="F23" s="20" t="s">
        <v>54</v>
      </c>
      <c r="G23" s="20">
        <v>8</v>
      </c>
      <c r="H23" s="20">
        <v>32</v>
      </c>
      <c r="I23" s="20">
        <v>32</v>
      </c>
      <c r="J23" s="20">
        <v>1</v>
      </c>
      <c r="K23" s="21" t="s">
        <v>105</v>
      </c>
      <c r="L23" s="20" t="s">
        <v>106</v>
      </c>
      <c r="M23" s="20" t="s">
        <v>107</v>
      </c>
      <c r="N23" s="20" t="s">
        <v>10</v>
      </c>
      <c r="O23" s="20" t="s">
        <v>108</v>
      </c>
      <c r="P23" s="20" t="s">
        <v>59</v>
      </c>
      <c r="Q23" s="20" t="s">
        <v>109</v>
      </c>
      <c r="R23" s="20" t="str">
        <f t="shared" ref="R23:R29" si="4">IF(ISBLANK($U$5),"",$U$5)</f>
        <v>/27</v>
      </c>
      <c r="S23" s="20">
        <f t="shared" ref="S23:S29" si="5">$S$5</f>
        <v>605</v>
      </c>
      <c r="T23" s="20">
        <v>64</v>
      </c>
      <c r="U23" s="20">
        <v>300</v>
      </c>
      <c r="V23" s="20" t="s">
        <v>61</v>
      </c>
      <c r="W23" s="5" t="s">
        <v>62</v>
      </c>
    </row>
    <row r="24" spans="1:33" ht="14.25" customHeight="1" x14ac:dyDescent="0.3">
      <c r="A24" s="20" t="s">
        <v>65</v>
      </c>
      <c r="B24" s="20" t="s">
        <v>104</v>
      </c>
      <c r="C24" s="20" t="s">
        <v>51</v>
      </c>
      <c r="D24" s="20" t="s">
        <v>52</v>
      </c>
      <c r="E24" s="20" t="s">
        <v>53</v>
      </c>
      <c r="F24" s="20" t="s">
        <v>54</v>
      </c>
      <c r="G24" s="20">
        <v>8</v>
      </c>
      <c r="H24" s="20">
        <v>32</v>
      </c>
      <c r="I24" s="20">
        <v>32</v>
      </c>
      <c r="J24" s="20">
        <v>1</v>
      </c>
      <c r="K24" s="21" t="s">
        <v>105</v>
      </c>
      <c r="L24" s="20" t="s">
        <v>110</v>
      </c>
      <c r="M24" s="20" t="s">
        <v>111</v>
      </c>
      <c r="N24" s="20" t="s">
        <v>10</v>
      </c>
      <c r="O24" s="20" t="s">
        <v>112</v>
      </c>
      <c r="P24" s="20" t="s">
        <v>59</v>
      </c>
      <c r="Q24" s="20" t="s">
        <v>113</v>
      </c>
      <c r="R24" s="20" t="str">
        <f t="shared" si="4"/>
        <v>/27</v>
      </c>
      <c r="S24" s="20">
        <f t="shared" si="5"/>
        <v>605</v>
      </c>
      <c r="T24" s="20">
        <v>64</v>
      </c>
      <c r="U24" s="20">
        <v>300</v>
      </c>
      <c r="V24" s="20" t="s">
        <v>61</v>
      </c>
      <c r="W24" s="5" t="s">
        <v>62</v>
      </c>
    </row>
    <row r="25" spans="1:33" ht="14.25" customHeight="1" x14ac:dyDescent="0.3">
      <c r="A25" s="20" t="s">
        <v>71</v>
      </c>
      <c r="B25" s="20" t="s">
        <v>104</v>
      </c>
      <c r="C25" s="20" t="s">
        <v>51</v>
      </c>
      <c r="D25" s="20" t="s">
        <v>52</v>
      </c>
      <c r="E25" s="20" t="s">
        <v>53</v>
      </c>
      <c r="F25" s="20" t="s">
        <v>54</v>
      </c>
      <c r="G25" s="20">
        <v>8</v>
      </c>
      <c r="H25" s="20">
        <v>32</v>
      </c>
      <c r="I25" s="20">
        <v>32</v>
      </c>
      <c r="J25" s="20">
        <v>1</v>
      </c>
      <c r="K25" s="21" t="s">
        <v>105</v>
      </c>
      <c r="L25" s="20" t="s">
        <v>114</v>
      </c>
      <c r="M25" s="20" t="s">
        <v>115</v>
      </c>
      <c r="N25" s="20" t="s">
        <v>10</v>
      </c>
      <c r="O25" s="20" t="s">
        <v>116</v>
      </c>
      <c r="P25" s="20" t="s">
        <v>59</v>
      </c>
      <c r="Q25" s="20" t="s">
        <v>117</v>
      </c>
      <c r="R25" s="20" t="str">
        <f t="shared" si="4"/>
        <v>/27</v>
      </c>
      <c r="S25" s="20">
        <f t="shared" si="5"/>
        <v>605</v>
      </c>
      <c r="T25" s="20">
        <v>64</v>
      </c>
      <c r="U25" s="20">
        <v>300</v>
      </c>
      <c r="V25" s="20" t="s">
        <v>61</v>
      </c>
      <c r="W25" s="5" t="s">
        <v>62</v>
      </c>
    </row>
    <row r="26" spans="1:33" ht="14.25" customHeight="1" x14ac:dyDescent="0.3">
      <c r="A26" s="20" t="s">
        <v>118</v>
      </c>
      <c r="B26" s="20" t="s">
        <v>104</v>
      </c>
      <c r="C26" s="20" t="s">
        <v>51</v>
      </c>
      <c r="D26" s="20" t="s">
        <v>52</v>
      </c>
      <c r="E26" s="20" t="s">
        <v>53</v>
      </c>
      <c r="F26" s="20">
        <v>4</v>
      </c>
      <c r="G26" s="20">
        <v>4</v>
      </c>
      <c r="H26" s="20">
        <v>16</v>
      </c>
      <c r="I26" s="20">
        <v>16</v>
      </c>
      <c r="J26" s="20">
        <v>1</v>
      </c>
      <c r="K26" s="21" t="s">
        <v>105</v>
      </c>
      <c r="L26" s="20" t="s">
        <v>119</v>
      </c>
      <c r="M26" s="20" t="s">
        <v>120</v>
      </c>
      <c r="N26" s="20" t="s">
        <v>10</v>
      </c>
      <c r="O26" s="20" t="s">
        <v>121</v>
      </c>
      <c r="P26" s="20" t="s">
        <v>59</v>
      </c>
      <c r="Q26" s="20" t="s">
        <v>122</v>
      </c>
      <c r="R26" s="20" t="str">
        <f t="shared" si="4"/>
        <v>/27</v>
      </c>
      <c r="S26" s="20">
        <f t="shared" si="5"/>
        <v>605</v>
      </c>
      <c r="T26" s="20">
        <v>64</v>
      </c>
      <c r="U26" s="20">
        <v>20</v>
      </c>
      <c r="V26" s="20" t="s">
        <v>61</v>
      </c>
      <c r="W26" s="5" t="s">
        <v>83</v>
      </c>
    </row>
    <row r="27" spans="1:33" ht="14.25" customHeight="1" x14ac:dyDescent="0.3">
      <c r="A27" s="20" t="s">
        <v>84</v>
      </c>
      <c r="B27" s="20" t="s">
        <v>104</v>
      </c>
      <c r="C27" s="20" t="s">
        <v>51</v>
      </c>
      <c r="D27" s="20" t="s">
        <v>52</v>
      </c>
      <c r="E27" s="20" t="s">
        <v>53</v>
      </c>
      <c r="F27" s="20">
        <v>24</v>
      </c>
      <c r="G27" s="20">
        <v>24</v>
      </c>
      <c r="H27" s="20">
        <v>128</v>
      </c>
      <c r="I27" s="20">
        <v>128</v>
      </c>
      <c r="J27" s="20">
        <v>1</v>
      </c>
      <c r="K27" s="21" t="s">
        <v>105</v>
      </c>
      <c r="L27" s="20" t="s">
        <v>123</v>
      </c>
      <c r="M27" s="20" t="s">
        <v>124</v>
      </c>
      <c r="N27" s="20" t="s">
        <v>10</v>
      </c>
      <c r="O27" s="20" t="s">
        <v>125</v>
      </c>
      <c r="P27" s="20" t="s">
        <v>59</v>
      </c>
      <c r="Q27" s="20" t="s">
        <v>126</v>
      </c>
      <c r="R27" s="20" t="str">
        <f t="shared" si="4"/>
        <v>/27</v>
      </c>
      <c r="S27" s="20">
        <f t="shared" si="5"/>
        <v>605</v>
      </c>
      <c r="T27" s="20">
        <v>64</v>
      </c>
      <c r="U27" s="20">
        <v>450</v>
      </c>
      <c r="V27" s="20" t="s">
        <v>89</v>
      </c>
      <c r="W27" s="5" t="s">
        <v>62</v>
      </c>
    </row>
    <row r="28" spans="1:33" ht="14.25" customHeight="1" x14ac:dyDescent="0.3">
      <c r="A28" s="20" t="s">
        <v>127</v>
      </c>
      <c r="B28" s="20" t="s">
        <v>104</v>
      </c>
      <c r="C28" s="20" t="s">
        <v>51</v>
      </c>
      <c r="D28" s="20" t="s">
        <v>52</v>
      </c>
      <c r="E28" s="20" t="s">
        <v>53</v>
      </c>
      <c r="F28" s="20">
        <v>4</v>
      </c>
      <c r="G28" s="20">
        <v>4</v>
      </c>
      <c r="H28" s="20">
        <v>16</v>
      </c>
      <c r="I28" s="20">
        <v>16</v>
      </c>
      <c r="J28" s="20">
        <v>1</v>
      </c>
      <c r="K28" s="21" t="s">
        <v>105</v>
      </c>
      <c r="L28" s="20" t="s">
        <v>128</v>
      </c>
      <c r="M28" s="20" t="s">
        <v>129</v>
      </c>
      <c r="N28" s="20" t="s">
        <v>10</v>
      </c>
      <c r="O28" s="20" t="s">
        <v>130</v>
      </c>
      <c r="P28" s="20" t="s">
        <v>59</v>
      </c>
      <c r="Q28" s="20" t="s">
        <v>131</v>
      </c>
      <c r="R28" s="20" t="str">
        <f t="shared" si="4"/>
        <v>/27</v>
      </c>
      <c r="S28" s="20">
        <f t="shared" si="5"/>
        <v>605</v>
      </c>
      <c r="T28" s="20">
        <v>64</v>
      </c>
      <c r="U28" s="20">
        <v>50</v>
      </c>
      <c r="V28" s="20" t="s">
        <v>61</v>
      </c>
      <c r="W28" s="5" t="s">
        <v>62</v>
      </c>
    </row>
    <row r="29" spans="1:33" ht="14.25" customHeight="1" x14ac:dyDescent="0.3">
      <c r="A29" s="20" t="s">
        <v>90</v>
      </c>
      <c r="B29" s="20" t="s">
        <v>104</v>
      </c>
      <c r="C29" s="20" t="s">
        <v>91</v>
      </c>
      <c r="D29" s="20" t="s">
        <v>52</v>
      </c>
      <c r="E29" s="20" t="s">
        <v>92</v>
      </c>
      <c r="F29" s="20">
        <v>16</v>
      </c>
      <c r="G29" s="20">
        <v>16</v>
      </c>
      <c r="H29" s="20">
        <v>64</v>
      </c>
      <c r="I29" s="20">
        <v>64</v>
      </c>
      <c r="J29" s="20">
        <v>1</v>
      </c>
      <c r="K29" s="21" t="s">
        <v>105</v>
      </c>
      <c r="L29" s="20" t="s">
        <v>132</v>
      </c>
      <c r="M29" s="20" t="s">
        <v>133</v>
      </c>
      <c r="N29" s="20" t="s">
        <v>10</v>
      </c>
      <c r="O29" s="20" t="s">
        <v>134</v>
      </c>
      <c r="P29" s="20" t="s">
        <v>59</v>
      </c>
      <c r="Q29" s="20" t="s">
        <v>135</v>
      </c>
      <c r="R29" s="20" t="str">
        <f t="shared" si="4"/>
        <v>/27</v>
      </c>
      <c r="S29" s="20">
        <f t="shared" si="5"/>
        <v>605</v>
      </c>
      <c r="T29" s="20">
        <v>150</v>
      </c>
      <c r="U29" s="20">
        <v>150</v>
      </c>
      <c r="V29" s="20"/>
    </row>
    <row r="30" spans="1:33" ht="14.2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33" ht="14.25" customHeight="1" x14ac:dyDescent="0.3">
      <c r="A31" s="22" t="s">
        <v>97</v>
      </c>
      <c r="B31" s="22" t="s">
        <v>136</v>
      </c>
      <c r="C31" s="22" t="s">
        <v>91</v>
      </c>
      <c r="D31" s="22" t="s">
        <v>52</v>
      </c>
      <c r="E31" s="22" t="s">
        <v>92</v>
      </c>
      <c r="F31" s="22"/>
      <c r="G31" s="22">
        <v>8</v>
      </c>
      <c r="H31" s="22">
        <v>32</v>
      </c>
      <c r="I31" s="22"/>
      <c r="J31" s="22"/>
      <c r="K31" s="22"/>
      <c r="L31" s="22" t="s">
        <v>137</v>
      </c>
      <c r="M31" s="22" t="s">
        <v>138</v>
      </c>
      <c r="N31" s="22" t="s">
        <v>101</v>
      </c>
      <c r="O31" s="22" t="s">
        <v>139</v>
      </c>
      <c r="P31" s="22" t="s">
        <v>59</v>
      </c>
      <c r="Q31" s="22" t="s">
        <v>140</v>
      </c>
      <c r="R31" s="22" t="str">
        <f>IF(ISBLANK($U$8),"",$U$8)</f>
        <v>/27</v>
      </c>
      <c r="S31" s="22">
        <f>$S$8</f>
        <v>601</v>
      </c>
      <c r="T31" s="22">
        <v>64</v>
      </c>
      <c r="U31" s="22">
        <v>100</v>
      </c>
      <c r="V31" s="22"/>
      <c r="W31" s="5" t="s">
        <v>141</v>
      </c>
    </row>
    <row r="32" spans="1:33" ht="14.25" customHeight="1" x14ac:dyDescent="0.3"/>
    <row r="33" spans="1:23" ht="14.25" customHeight="1" x14ac:dyDescent="0.3">
      <c r="A33" s="22" t="s">
        <v>142</v>
      </c>
      <c r="B33" s="22" t="s">
        <v>136</v>
      </c>
      <c r="C33" s="22"/>
      <c r="D33" s="22"/>
      <c r="E33" s="22"/>
      <c r="F33" s="22"/>
      <c r="G33" s="22"/>
      <c r="H33" s="22"/>
      <c r="I33" s="22"/>
      <c r="J33" s="22"/>
      <c r="K33" s="23" t="s">
        <v>143</v>
      </c>
      <c r="L33" s="22"/>
      <c r="M33" s="22"/>
      <c r="N33" s="22"/>
      <c r="O33" s="22" t="s">
        <v>144</v>
      </c>
      <c r="P33" s="22" t="s">
        <v>59</v>
      </c>
      <c r="Q33" s="22" t="s">
        <v>145</v>
      </c>
      <c r="R33" s="22" t="str">
        <f>IF(ISBLANK($U$9),"",$U$9)</f>
        <v>/27</v>
      </c>
      <c r="S33" s="22">
        <f>$S$9</f>
        <v>602</v>
      </c>
      <c r="T33" s="22"/>
      <c r="U33" s="22">
        <f>4096+6144</f>
        <v>10240</v>
      </c>
      <c r="V33" s="22"/>
      <c r="W33" s="5" t="s">
        <v>146</v>
      </c>
    </row>
    <row r="34" spans="1:23" ht="14.25" customHeight="1" x14ac:dyDescent="0.3"/>
    <row r="35" spans="1:23" ht="14.25" customHeight="1" x14ac:dyDescent="0.3">
      <c r="A35" s="22" t="s">
        <v>147</v>
      </c>
      <c r="B35" s="22" t="s">
        <v>136</v>
      </c>
      <c r="C35" s="22" t="s">
        <v>51</v>
      </c>
      <c r="D35" s="22" t="s">
        <v>52</v>
      </c>
      <c r="E35" s="22" t="s">
        <v>53</v>
      </c>
      <c r="F35" s="22" t="s">
        <v>54</v>
      </c>
      <c r="G35" s="22">
        <v>8</v>
      </c>
      <c r="H35" s="22">
        <v>32</v>
      </c>
      <c r="I35" s="22">
        <v>32</v>
      </c>
      <c r="J35" s="22">
        <v>1</v>
      </c>
      <c r="K35" s="23" t="s">
        <v>143</v>
      </c>
      <c r="L35" s="22" t="s">
        <v>148</v>
      </c>
      <c r="M35" s="22" t="s">
        <v>149</v>
      </c>
      <c r="N35" s="22" t="s">
        <v>10</v>
      </c>
      <c r="O35" s="22" t="s">
        <v>150</v>
      </c>
      <c r="P35" s="22" t="s">
        <v>59</v>
      </c>
      <c r="Q35" s="22" t="s">
        <v>151</v>
      </c>
      <c r="R35" s="22" t="str">
        <f>IF(ISBLANK($U$6),"",$U$5)</f>
        <v>/27</v>
      </c>
      <c r="S35" s="22">
        <f t="shared" ref="S35:S45" si="6">$S$6</f>
        <v>604</v>
      </c>
      <c r="T35" s="22">
        <v>64</v>
      </c>
      <c r="U35" s="22">
        <v>300</v>
      </c>
      <c r="V35" s="22" t="s">
        <v>61</v>
      </c>
      <c r="W35" s="5" t="s">
        <v>62</v>
      </c>
    </row>
    <row r="36" spans="1:23" ht="14.25" customHeight="1" x14ac:dyDescent="0.3">
      <c r="A36" s="22" t="s">
        <v>152</v>
      </c>
      <c r="B36" s="22" t="s">
        <v>136</v>
      </c>
      <c r="C36" s="22" t="s">
        <v>51</v>
      </c>
      <c r="D36" s="22" t="s">
        <v>52</v>
      </c>
      <c r="E36" s="22" t="s">
        <v>53</v>
      </c>
      <c r="F36" s="22" t="s">
        <v>54</v>
      </c>
      <c r="G36" s="22">
        <v>8</v>
      </c>
      <c r="H36" s="22">
        <v>32</v>
      </c>
      <c r="I36" s="22">
        <v>32</v>
      </c>
      <c r="J36" s="22">
        <v>1</v>
      </c>
      <c r="K36" s="23" t="s">
        <v>143</v>
      </c>
      <c r="L36" s="22" t="s">
        <v>153</v>
      </c>
      <c r="M36" s="22" t="s">
        <v>154</v>
      </c>
      <c r="N36" s="22" t="s">
        <v>10</v>
      </c>
      <c r="O36" s="22" t="s">
        <v>155</v>
      </c>
      <c r="P36" s="22" t="s">
        <v>59</v>
      </c>
      <c r="Q36" s="22" t="s">
        <v>156</v>
      </c>
      <c r="R36" s="22" t="str">
        <f t="shared" ref="R36:R45" si="7">IF(ISBLANK($U$6),"",$U$6)</f>
        <v>/27</v>
      </c>
      <c r="S36" s="22">
        <f t="shared" si="6"/>
        <v>604</v>
      </c>
      <c r="T36" s="22">
        <v>64</v>
      </c>
      <c r="U36" s="22">
        <v>300</v>
      </c>
      <c r="V36" s="22" t="s">
        <v>61</v>
      </c>
      <c r="W36" s="5" t="s">
        <v>62</v>
      </c>
    </row>
    <row r="37" spans="1:23" ht="14.25" customHeight="1" x14ac:dyDescent="0.3">
      <c r="A37" s="22" t="s">
        <v>157</v>
      </c>
      <c r="B37" s="22" t="s">
        <v>136</v>
      </c>
      <c r="C37" s="22" t="s">
        <v>51</v>
      </c>
      <c r="D37" s="22" t="s">
        <v>52</v>
      </c>
      <c r="E37" s="22" t="s">
        <v>53</v>
      </c>
      <c r="F37" s="22" t="s">
        <v>54</v>
      </c>
      <c r="G37" s="22">
        <v>8</v>
      </c>
      <c r="H37" s="22">
        <v>32</v>
      </c>
      <c r="I37" s="22">
        <v>32</v>
      </c>
      <c r="J37" s="22">
        <v>1</v>
      </c>
      <c r="K37" s="23" t="s">
        <v>143</v>
      </c>
      <c r="L37" s="22" t="s">
        <v>158</v>
      </c>
      <c r="M37" s="22" t="s">
        <v>159</v>
      </c>
      <c r="N37" s="22" t="s">
        <v>10</v>
      </c>
      <c r="O37" s="22" t="s">
        <v>160</v>
      </c>
      <c r="P37" s="22" t="s">
        <v>59</v>
      </c>
      <c r="Q37" s="22" t="s">
        <v>161</v>
      </c>
      <c r="R37" s="22" t="str">
        <f t="shared" si="7"/>
        <v>/27</v>
      </c>
      <c r="S37" s="22">
        <f t="shared" si="6"/>
        <v>604</v>
      </c>
      <c r="T37" s="22">
        <v>64</v>
      </c>
      <c r="U37" s="22">
        <v>300</v>
      </c>
      <c r="V37" s="22" t="s">
        <v>61</v>
      </c>
      <c r="W37" s="5" t="s">
        <v>62</v>
      </c>
    </row>
    <row r="38" spans="1:23" ht="14.25" customHeight="1" x14ac:dyDescent="0.3">
      <c r="A38" s="22" t="s">
        <v>162</v>
      </c>
      <c r="B38" s="22" t="s">
        <v>136</v>
      </c>
      <c r="C38" s="22" t="s">
        <v>51</v>
      </c>
      <c r="D38" s="22" t="s">
        <v>52</v>
      </c>
      <c r="E38" s="22" t="s">
        <v>53</v>
      </c>
      <c r="F38" s="22" t="s">
        <v>54</v>
      </c>
      <c r="G38" s="22">
        <v>8</v>
      </c>
      <c r="H38" s="22">
        <v>32</v>
      </c>
      <c r="I38" s="22">
        <v>32</v>
      </c>
      <c r="J38" s="22">
        <v>1</v>
      </c>
      <c r="K38" s="23" t="s">
        <v>143</v>
      </c>
      <c r="L38" s="22" t="s">
        <v>163</v>
      </c>
      <c r="M38" s="22" t="s">
        <v>164</v>
      </c>
      <c r="N38" s="22" t="s">
        <v>10</v>
      </c>
      <c r="O38" s="22" t="s">
        <v>165</v>
      </c>
      <c r="P38" s="22" t="s">
        <v>59</v>
      </c>
      <c r="Q38" s="22" t="s">
        <v>166</v>
      </c>
      <c r="R38" s="22" t="str">
        <f t="shared" si="7"/>
        <v>/27</v>
      </c>
      <c r="S38" s="22">
        <f t="shared" si="6"/>
        <v>604</v>
      </c>
      <c r="T38" s="22">
        <v>64</v>
      </c>
      <c r="U38" s="22">
        <v>300</v>
      </c>
      <c r="V38" s="22" t="s">
        <v>61</v>
      </c>
      <c r="W38" s="5" t="s">
        <v>62</v>
      </c>
    </row>
    <row r="39" spans="1:23" ht="14.25" customHeight="1" x14ac:dyDescent="0.3">
      <c r="A39" s="22" t="s">
        <v>167</v>
      </c>
      <c r="B39" s="22" t="s">
        <v>136</v>
      </c>
      <c r="C39" s="22" t="s">
        <v>51</v>
      </c>
      <c r="D39" s="22" t="s">
        <v>52</v>
      </c>
      <c r="E39" s="22" t="s">
        <v>53</v>
      </c>
      <c r="F39" s="22" t="s">
        <v>54</v>
      </c>
      <c r="G39" s="22">
        <v>8</v>
      </c>
      <c r="H39" s="22">
        <v>32</v>
      </c>
      <c r="I39" s="22">
        <v>32</v>
      </c>
      <c r="J39" s="22">
        <v>1</v>
      </c>
      <c r="K39" s="23" t="s">
        <v>143</v>
      </c>
      <c r="L39" s="22" t="s">
        <v>168</v>
      </c>
      <c r="M39" s="22" t="s">
        <v>169</v>
      </c>
      <c r="N39" s="22" t="s">
        <v>10</v>
      </c>
      <c r="O39" s="22" t="s">
        <v>170</v>
      </c>
      <c r="P39" s="22" t="s">
        <v>59</v>
      </c>
      <c r="Q39" s="22" t="s">
        <v>171</v>
      </c>
      <c r="R39" s="22" t="str">
        <f t="shared" si="7"/>
        <v>/27</v>
      </c>
      <c r="S39" s="22">
        <f t="shared" si="6"/>
        <v>604</v>
      </c>
      <c r="T39" s="22">
        <v>64</v>
      </c>
      <c r="U39" s="22">
        <v>300</v>
      </c>
      <c r="V39" s="22" t="s">
        <v>61</v>
      </c>
      <c r="W39" s="5" t="s">
        <v>62</v>
      </c>
    </row>
    <row r="40" spans="1:23" ht="14.25" customHeight="1" x14ac:dyDescent="0.3">
      <c r="A40" s="22" t="s">
        <v>172</v>
      </c>
      <c r="B40" s="22" t="s">
        <v>136</v>
      </c>
      <c r="C40" s="22" t="s">
        <v>51</v>
      </c>
      <c r="D40" s="22" t="s">
        <v>52</v>
      </c>
      <c r="E40" s="22" t="s">
        <v>53</v>
      </c>
      <c r="F40" s="22" t="s">
        <v>54</v>
      </c>
      <c r="G40" s="22">
        <v>8</v>
      </c>
      <c r="H40" s="22">
        <v>32</v>
      </c>
      <c r="I40" s="22">
        <v>32</v>
      </c>
      <c r="J40" s="22">
        <v>1</v>
      </c>
      <c r="K40" s="23" t="s">
        <v>143</v>
      </c>
      <c r="L40" s="22" t="s">
        <v>173</v>
      </c>
      <c r="M40" s="22" t="s">
        <v>174</v>
      </c>
      <c r="N40" s="22" t="s">
        <v>10</v>
      </c>
      <c r="O40" s="22" t="s">
        <v>175</v>
      </c>
      <c r="P40" s="22" t="s">
        <v>59</v>
      </c>
      <c r="Q40" s="22" t="s">
        <v>176</v>
      </c>
      <c r="R40" s="22" t="str">
        <f t="shared" si="7"/>
        <v>/27</v>
      </c>
      <c r="S40" s="22">
        <f t="shared" si="6"/>
        <v>604</v>
      </c>
      <c r="T40" s="22">
        <v>64</v>
      </c>
      <c r="U40" s="22">
        <v>300</v>
      </c>
      <c r="V40" s="22" t="s">
        <v>61</v>
      </c>
      <c r="W40" s="5" t="s">
        <v>62</v>
      </c>
    </row>
    <row r="41" spans="1:23" ht="14.25" customHeight="1" x14ac:dyDescent="0.3">
      <c r="A41" s="22" t="s">
        <v>118</v>
      </c>
      <c r="B41" s="22" t="s">
        <v>136</v>
      </c>
      <c r="C41" s="22" t="s">
        <v>51</v>
      </c>
      <c r="D41" s="22" t="s">
        <v>52</v>
      </c>
      <c r="E41" s="22" t="s">
        <v>53</v>
      </c>
      <c r="F41" s="22">
        <v>4</v>
      </c>
      <c r="G41" s="22">
        <v>4</v>
      </c>
      <c r="H41" s="22">
        <v>16</v>
      </c>
      <c r="I41" s="22">
        <v>16</v>
      </c>
      <c r="J41" s="22">
        <v>1</v>
      </c>
      <c r="K41" s="23" t="s">
        <v>143</v>
      </c>
      <c r="L41" s="22" t="s">
        <v>177</v>
      </c>
      <c r="M41" s="22" t="s">
        <v>178</v>
      </c>
      <c r="N41" s="22" t="s">
        <v>10</v>
      </c>
      <c r="O41" s="22" t="s">
        <v>179</v>
      </c>
      <c r="P41" s="22" t="s">
        <v>59</v>
      </c>
      <c r="Q41" s="22" t="s">
        <v>180</v>
      </c>
      <c r="R41" s="22" t="str">
        <f t="shared" si="7"/>
        <v>/27</v>
      </c>
      <c r="S41" s="22">
        <f t="shared" si="6"/>
        <v>604</v>
      </c>
      <c r="T41" s="22">
        <v>64</v>
      </c>
      <c r="U41" s="22">
        <v>20</v>
      </c>
      <c r="V41" s="22" t="s">
        <v>61</v>
      </c>
      <c r="W41" s="5" t="s">
        <v>83</v>
      </c>
    </row>
    <row r="42" spans="1:23" ht="14.25" customHeight="1" x14ac:dyDescent="0.3">
      <c r="A42" s="24" t="s">
        <v>84</v>
      </c>
      <c r="B42" s="22" t="s">
        <v>136</v>
      </c>
      <c r="C42" s="22" t="s">
        <v>51</v>
      </c>
      <c r="D42" s="22" t="s">
        <v>52</v>
      </c>
      <c r="E42" s="22" t="s">
        <v>53</v>
      </c>
      <c r="F42" s="22">
        <v>24</v>
      </c>
      <c r="G42" s="22">
        <v>24</v>
      </c>
      <c r="H42" s="22">
        <v>128</v>
      </c>
      <c r="I42" s="22">
        <v>128</v>
      </c>
      <c r="J42" s="22">
        <v>1</v>
      </c>
      <c r="K42" s="23" t="s">
        <v>143</v>
      </c>
      <c r="L42" s="22" t="s">
        <v>181</v>
      </c>
      <c r="M42" s="22" t="s">
        <v>182</v>
      </c>
      <c r="N42" s="22" t="s">
        <v>10</v>
      </c>
      <c r="O42" s="22" t="s">
        <v>183</v>
      </c>
      <c r="P42" s="22" t="s">
        <v>59</v>
      </c>
      <c r="Q42" s="22" t="s">
        <v>184</v>
      </c>
      <c r="R42" s="22" t="str">
        <f t="shared" si="7"/>
        <v>/27</v>
      </c>
      <c r="S42" s="22">
        <f t="shared" si="6"/>
        <v>604</v>
      </c>
      <c r="T42" s="22">
        <v>64</v>
      </c>
      <c r="U42" s="22">
        <v>450</v>
      </c>
      <c r="V42" s="22" t="s">
        <v>89</v>
      </c>
      <c r="W42" s="5" t="s">
        <v>62</v>
      </c>
    </row>
    <row r="43" spans="1:23" ht="14.25" customHeight="1" x14ac:dyDescent="0.3">
      <c r="A43" s="22" t="s">
        <v>185</v>
      </c>
      <c r="B43" s="22" t="s">
        <v>136</v>
      </c>
      <c r="C43" s="22" t="s">
        <v>51</v>
      </c>
      <c r="D43" s="22" t="s">
        <v>52</v>
      </c>
      <c r="E43" s="22" t="s">
        <v>53</v>
      </c>
      <c r="F43" s="22">
        <v>16</v>
      </c>
      <c r="G43" s="22">
        <v>16</v>
      </c>
      <c r="H43" s="22">
        <v>64</v>
      </c>
      <c r="I43" s="22">
        <v>64</v>
      </c>
      <c r="J43" s="22">
        <v>1</v>
      </c>
      <c r="K43" s="23" t="s">
        <v>143</v>
      </c>
      <c r="L43" s="22" t="s">
        <v>186</v>
      </c>
      <c r="M43" s="22" t="s">
        <v>187</v>
      </c>
      <c r="N43" s="22" t="s">
        <v>10</v>
      </c>
      <c r="O43" s="22" t="s">
        <v>188</v>
      </c>
      <c r="P43" s="22" t="s">
        <v>59</v>
      </c>
      <c r="Q43" s="22" t="s">
        <v>189</v>
      </c>
      <c r="R43" s="22" t="str">
        <f t="shared" si="7"/>
        <v>/27</v>
      </c>
      <c r="S43" s="22">
        <f t="shared" si="6"/>
        <v>604</v>
      </c>
      <c r="T43" s="22">
        <v>64</v>
      </c>
      <c r="U43" s="22">
        <v>100</v>
      </c>
      <c r="V43" s="22" t="s">
        <v>61</v>
      </c>
      <c r="W43" s="5" t="s">
        <v>62</v>
      </c>
    </row>
    <row r="44" spans="1:23" ht="14.25" customHeight="1" x14ac:dyDescent="0.3">
      <c r="A44" s="22" t="s">
        <v>127</v>
      </c>
      <c r="B44" s="22" t="s">
        <v>136</v>
      </c>
      <c r="C44" s="22" t="s">
        <v>51</v>
      </c>
      <c r="D44" s="22" t="s">
        <v>52</v>
      </c>
      <c r="E44" s="22" t="s">
        <v>53</v>
      </c>
      <c r="F44" s="22">
        <v>4</v>
      </c>
      <c r="G44" s="22">
        <v>4</v>
      </c>
      <c r="H44" s="22">
        <v>16</v>
      </c>
      <c r="I44" s="22">
        <v>16</v>
      </c>
      <c r="J44" s="22">
        <v>1</v>
      </c>
      <c r="K44" s="23" t="s">
        <v>143</v>
      </c>
      <c r="L44" s="22" t="s">
        <v>190</v>
      </c>
      <c r="M44" s="22" t="s">
        <v>191</v>
      </c>
      <c r="N44" s="22" t="s">
        <v>10</v>
      </c>
      <c r="O44" s="22" t="s">
        <v>192</v>
      </c>
      <c r="P44" s="22" t="s">
        <v>59</v>
      </c>
      <c r="Q44" s="22" t="s">
        <v>193</v>
      </c>
      <c r="R44" s="22" t="str">
        <f t="shared" si="7"/>
        <v>/27</v>
      </c>
      <c r="S44" s="22">
        <f t="shared" si="6"/>
        <v>604</v>
      </c>
      <c r="T44" s="22">
        <v>64</v>
      </c>
      <c r="U44" s="22">
        <v>50</v>
      </c>
      <c r="V44" s="22" t="s">
        <v>61</v>
      </c>
      <c r="W44" s="5" t="s">
        <v>62</v>
      </c>
    </row>
    <row r="45" spans="1:23" ht="14.25" customHeight="1" x14ac:dyDescent="0.3">
      <c r="A45" s="22" t="s">
        <v>90</v>
      </c>
      <c r="B45" s="22" t="s">
        <v>136</v>
      </c>
      <c r="C45" s="22" t="s">
        <v>91</v>
      </c>
      <c r="D45" s="22" t="s">
        <v>52</v>
      </c>
      <c r="E45" s="22" t="s">
        <v>92</v>
      </c>
      <c r="F45" s="22">
        <v>16</v>
      </c>
      <c r="G45" s="22">
        <v>16</v>
      </c>
      <c r="H45" s="22">
        <v>64</v>
      </c>
      <c r="I45" s="22">
        <v>64</v>
      </c>
      <c r="J45" s="22">
        <v>1</v>
      </c>
      <c r="K45" s="23" t="s">
        <v>143</v>
      </c>
      <c r="L45" s="22" t="s">
        <v>194</v>
      </c>
      <c r="M45" s="22" t="s">
        <v>195</v>
      </c>
      <c r="N45" s="22" t="s">
        <v>10</v>
      </c>
      <c r="O45" s="22" t="s">
        <v>196</v>
      </c>
      <c r="P45" s="22" t="s">
        <v>59</v>
      </c>
      <c r="Q45" s="22" t="s">
        <v>197</v>
      </c>
      <c r="R45" s="22" t="str">
        <f t="shared" si="7"/>
        <v>/27</v>
      </c>
      <c r="S45" s="22">
        <f t="shared" si="6"/>
        <v>604</v>
      </c>
      <c r="T45" s="22">
        <v>150</v>
      </c>
      <c r="U45" s="22">
        <v>150</v>
      </c>
      <c r="V45" s="22"/>
    </row>
    <row r="46" spans="1:23" ht="14.2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23" ht="30.05" customHeight="1" x14ac:dyDescent="0.3">
      <c r="A47" s="12" t="s">
        <v>198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23" ht="14.25" customHeight="1" x14ac:dyDescent="0.3">
      <c r="A48" s="25" t="s">
        <v>199</v>
      </c>
      <c r="B48" s="25" t="s">
        <v>50</v>
      </c>
      <c r="C48" s="25" t="s">
        <v>200</v>
      </c>
      <c r="D48" s="25" t="s">
        <v>52</v>
      </c>
      <c r="E48" s="25" t="s">
        <v>53</v>
      </c>
      <c r="F48" s="25">
        <v>8</v>
      </c>
      <c r="G48" s="25">
        <v>8</v>
      </c>
      <c r="H48" s="25">
        <v>64</v>
      </c>
      <c r="I48" s="25">
        <v>64</v>
      </c>
      <c r="J48" s="25">
        <v>1</v>
      </c>
      <c r="K48" s="26" t="s">
        <v>143</v>
      </c>
      <c r="L48" s="25" t="s">
        <v>201</v>
      </c>
      <c r="M48" s="25" t="s">
        <v>202</v>
      </c>
      <c r="N48" s="25" t="s">
        <v>10</v>
      </c>
      <c r="O48" s="27" t="s">
        <v>203</v>
      </c>
      <c r="P48" s="25" t="s">
        <v>59</v>
      </c>
      <c r="Q48" s="27" t="s">
        <v>204</v>
      </c>
      <c r="R48" s="25" t="str">
        <f t="shared" ref="R48:R52" si="8">IF(ISBLANK($U$7),"",$U$7)</f>
        <v>/27</v>
      </c>
      <c r="S48" s="25">
        <f t="shared" ref="S48:S52" si="9">$S$7</f>
        <v>603</v>
      </c>
      <c r="T48" s="25">
        <v>64</v>
      </c>
      <c r="U48" s="25">
        <v>1024</v>
      </c>
      <c r="V48" s="25"/>
    </row>
    <row r="49" spans="1:23" ht="14.25" customHeight="1" x14ac:dyDescent="0.3">
      <c r="A49" s="25" t="s">
        <v>205</v>
      </c>
      <c r="B49" s="25" t="s">
        <v>104</v>
      </c>
      <c r="C49" s="25" t="s">
        <v>200</v>
      </c>
      <c r="D49" s="25" t="s">
        <v>52</v>
      </c>
      <c r="E49" s="25" t="s">
        <v>53</v>
      </c>
      <c r="F49" s="25">
        <v>8</v>
      </c>
      <c r="G49" s="25">
        <v>8</v>
      </c>
      <c r="H49" s="25">
        <v>64</v>
      </c>
      <c r="I49" s="25">
        <v>64</v>
      </c>
      <c r="J49" s="25">
        <v>1</v>
      </c>
      <c r="K49" s="26" t="s">
        <v>143</v>
      </c>
      <c r="L49" s="25" t="s">
        <v>206</v>
      </c>
      <c r="M49" s="25" t="s">
        <v>207</v>
      </c>
      <c r="N49" s="25" t="s">
        <v>10</v>
      </c>
      <c r="O49" s="25" t="s">
        <v>208</v>
      </c>
      <c r="P49" s="25" t="s">
        <v>59</v>
      </c>
      <c r="Q49" s="25" t="s">
        <v>209</v>
      </c>
      <c r="R49" s="25" t="str">
        <f t="shared" si="8"/>
        <v>/27</v>
      </c>
      <c r="S49" s="25">
        <f t="shared" si="9"/>
        <v>603</v>
      </c>
      <c r="T49" s="25">
        <v>64</v>
      </c>
      <c r="U49" s="25">
        <v>1024</v>
      </c>
      <c r="V49" s="25"/>
    </row>
    <row r="50" spans="1:23" ht="14.25" customHeight="1" x14ac:dyDescent="0.3">
      <c r="A50" s="25" t="s">
        <v>210</v>
      </c>
      <c r="B50" s="25" t="s">
        <v>136</v>
      </c>
      <c r="C50" s="25" t="s">
        <v>200</v>
      </c>
      <c r="D50" s="25" t="s">
        <v>52</v>
      </c>
      <c r="E50" s="25" t="s">
        <v>53</v>
      </c>
      <c r="F50" s="25">
        <v>16</v>
      </c>
      <c r="G50" s="25">
        <v>16</v>
      </c>
      <c r="H50" s="25">
        <v>128</v>
      </c>
      <c r="I50" s="25">
        <v>128</v>
      </c>
      <c r="J50" s="25">
        <v>1</v>
      </c>
      <c r="K50" s="26" t="s">
        <v>143</v>
      </c>
      <c r="L50" s="25" t="s">
        <v>211</v>
      </c>
      <c r="M50" s="25" t="s">
        <v>212</v>
      </c>
      <c r="N50" s="25" t="s">
        <v>10</v>
      </c>
      <c r="O50" s="25" t="s">
        <v>213</v>
      </c>
      <c r="P50" s="25" t="s">
        <v>59</v>
      </c>
      <c r="Q50" s="25" t="s">
        <v>214</v>
      </c>
      <c r="R50" s="25" t="str">
        <f t="shared" si="8"/>
        <v>/27</v>
      </c>
      <c r="S50" s="25">
        <f t="shared" si="9"/>
        <v>603</v>
      </c>
      <c r="T50" s="25">
        <v>64</v>
      </c>
      <c r="U50" s="25">
        <v>1024</v>
      </c>
      <c r="V50" s="25"/>
      <c r="W50" s="64" t="s">
        <v>215</v>
      </c>
    </row>
    <row r="51" spans="1:23" ht="14.25" customHeight="1" x14ac:dyDescent="0.3">
      <c r="A51" s="25" t="s">
        <v>210</v>
      </c>
      <c r="B51" s="25" t="s">
        <v>136</v>
      </c>
      <c r="C51" s="25" t="s">
        <v>200</v>
      </c>
      <c r="D51" s="25" t="s">
        <v>52</v>
      </c>
      <c r="E51" s="25" t="s">
        <v>53</v>
      </c>
      <c r="F51" s="25">
        <v>16</v>
      </c>
      <c r="G51" s="25">
        <v>16</v>
      </c>
      <c r="H51" s="25">
        <v>128</v>
      </c>
      <c r="I51" s="25">
        <v>128</v>
      </c>
      <c r="J51" s="25">
        <v>1</v>
      </c>
      <c r="K51" s="26" t="s">
        <v>143</v>
      </c>
      <c r="L51" s="25" t="s">
        <v>216</v>
      </c>
      <c r="M51" s="25" t="s">
        <v>217</v>
      </c>
      <c r="N51" s="25" t="s">
        <v>10</v>
      </c>
      <c r="O51" s="25" t="s">
        <v>218</v>
      </c>
      <c r="P51" s="25" t="s">
        <v>59</v>
      </c>
      <c r="Q51" s="25" t="s">
        <v>219</v>
      </c>
      <c r="R51" s="25" t="str">
        <f t="shared" si="8"/>
        <v>/27</v>
      </c>
      <c r="S51" s="25">
        <f t="shared" si="9"/>
        <v>603</v>
      </c>
      <c r="T51" s="25">
        <v>64</v>
      </c>
      <c r="U51" s="25">
        <v>1024</v>
      </c>
      <c r="V51" s="25"/>
      <c r="W51" s="63"/>
    </row>
    <row r="52" spans="1:23" ht="14.25" customHeight="1" x14ac:dyDescent="0.3">
      <c r="A52" s="25" t="s">
        <v>210</v>
      </c>
      <c r="B52" s="25" t="s">
        <v>136</v>
      </c>
      <c r="C52" s="25" t="s">
        <v>200</v>
      </c>
      <c r="D52" s="25"/>
      <c r="E52" s="25"/>
      <c r="F52" s="25"/>
      <c r="G52" s="25"/>
      <c r="H52" s="25"/>
      <c r="I52" s="25"/>
      <c r="J52" s="25"/>
      <c r="K52" s="28"/>
      <c r="L52" s="25"/>
      <c r="M52" s="25"/>
      <c r="N52" s="25"/>
      <c r="O52" s="25" t="s">
        <v>220</v>
      </c>
      <c r="P52" s="25" t="s">
        <v>59</v>
      </c>
      <c r="Q52" s="25" t="s">
        <v>221</v>
      </c>
      <c r="R52" s="25" t="str">
        <f t="shared" si="8"/>
        <v>/27</v>
      </c>
      <c r="S52" s="25">
        <f t="shared" si="9"/>
        <v>603</v>
      </c>
      <c r="T52" s="25">
        <v>64</v>
      </c>
      <c r="U52" s="25"/>
      <c r="V52" s="25"/>
      <c r="W52" s="63"/>
    </row>
    <row r="53" spans="1:23" ht="14.25" customHeight="1" x14ac:dyDescent="0.3">
      <c r="A53" s="12"/>
      <c r="B53" s="12"/>
      <c r="C53" s="12"/>
      <c r="D53" s="12"/>
      <c r="E53" s="12"/>
      <c r="F53" s="12"/>
      <c r="G53" s="5">
        <f t="shared" ref="G53:H53" si="10">SUM(G14:G51)</f>
        <v>308</v>
      </c>
      <c r="H53" s="5">
        <f t="shared" si="10"/>
        <v>1488</v>
      </c>
      <c r="I53" s="29">
        <v>1200</v>
      </c>
      <c r="J53" s="29"/>
      <c r="K53" s="29"/>
      <c r="L53" s="12"/>
    </row>
    <row r="54" spans="1:23" ht="14.25" customHeight="1" x14ac:dyDescent="0.3"/>
    <row r="55" spans="1:23" ht="14.25" customHeight="1" x14ac:dyDescent="0.3">
      <c r="A55" s="22" t="s">
        <v>222</v>
      </c>
      <c r="B55" s="22" t="s">
        <v>136</v>
      </c>
      <c r="C55" s="22" t="s">
        <v>91</v>
      </c>
      <c r="D55" s="22" t="s">
        <v>52</v>
      </c>
      <c r="E55" s="22" t="s">
        <v>92</v>
      </c>
      <c r="F55" s="22"/>
      <c r="G55" s="22">
        <v>8</v>
      </c>
      <c r="H55" s="22">
        <v>32</v>
      </c>
      <c r="I55" s="22"/>
      <c r="J55" s="22"/>
      <c r="K55" s="22"/>
      <c r="L55" s="22"/>
      <c r="M55" s="22"/>
      <c r="N55" s="22"/>
      <c r="O55" s="22" t="s">
        <v>223</v>
      </c>
      <c r="P55" s="22" t="s">
        <v>59</v>
      </c>
      <c r="Q55" s="22" t="s">
        <v>224</v>
      </c>
      <c r="R55" s="22" t="str">
        <f>IF(ISBLANK($U$9),"",$U$9)</f>
        <v>/27</v>
      </c>
      <c r="S55" s="22">
        <f>$S$9</f>
        <v>602</v>
      </c>
      <c r="T55" s="22">
        <v>64</v>
      </c>
      <c r="U55" s="22">
        <v>100</v>
      </c>
      <c r="V55" s="22"/>
    </row>
    <row r="56" spans="1:23" ht="14.25" customHeight="1" x14ac:dyDescent="0.3">
      <c r="T56" s="5">
        <f t="shared" ref="T56:U56" si="11">SUM(T14:T55)</f>
        <v>2306</v>
      </c>
      <c r="U56" s="5">
        <f t="shared" si="11"/>
        <v>20296</v>
      </c>
    </row>
    <row r="57" spans="1:23" ht="14.25" customHeight="1" x14ac:dyDescent="0.3"/>
    <row r="58" spans="1:23" ht="14.25" customHeight="1" x14ac:dyDescent="0.3">
      <c r="A58" s="5" t="s">
        <v>225</v>
      </c>
    </row>
    <row r="59" spans="1:23" ht="14.25" customHeight="1" x14ac:dyDescent="0.3">
      <c r="A59" s="65" t="s">
        <v>226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</row>
    <row r="60" spans="1:23" ht="14.25" customHeight="1" x14ac:dyDescent="0.3">
      <c r="A60" s="66" t="s">
        <v>227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</row>
    <row r="61" spans="1:23" ht="14.25" customHeight="1" x14ac:dyDescent="0.3">
      <c r="A61" s="66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</row>
    <row r="62" spans="1:23" ht="14.25" customHeight="1" x14ac:dyDescent="0.3">
      <c r="A62" s="66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</row>
    <row r="63" spans="1:23" ht="14.25" customHeight="1" x14ac:dyDescent="0.3"/>
    <row r="64" spans="1:2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3:V53" xr:uid="{00000000-0009-0000-0000-000000000000}"/>
  <mergeCells count="11">
    <mergeCell ref="A62:V62"/>
    <mergeCell ref="A1:A3"/>
    <mergeCell ref="A5:A6"/>
    <mergeCell ref="A8:A11"/>
    <mergeCell ref="L12:N12"/>
    <mergeCell ref="O12:S12"/>
    <mergeCell ref="AG14:AG15"/>
    <mergeCell ref="W50:W52"/>
    <mergeCell ref="A59:V59"/>
    <mergeCell ref="A60:V60"/>
    <mergeCell ref="A61:V6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7B98-2EBA-49F4-96CC-A00A3D489C0C}">
  <dimension ref="A1:AG15"/>
  <sheetViews>
    <sheetView workbookViewId="0">
      <selection activeCell="O9" sqref="O9:O15"/>
    </sheetView>
  </sheetViews>
  <sheetFormatPr defaultRowHeight="15.05" x14ac:dyDescent="0.3"/>
  <cols>
    <col min="1" max="1" width="12.88671875" bestFit="1" customWidth="1"/>
    <col min="15" max="15" width="9.33203125" bestFit="1" customWidth="1"/>
  </cols>
  <sheetData>
    <row r="1" spans="1:33" ht="14.25" customHeight="1" x14ac:dyDescent="0.3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  <c r="G1" s="16" t="s">
        <v>37</v>
      </c>
      <c r="H1" s="16" t="s">
        <v>38</v>
      </c>
      <c r="I1" s="16" t="s">
        <v>38</v>
      </c>
      <c r="J1" s="16" t="s">
        <v>39</v>
      </c>
      <c r="K1" s="16" t="s">
        <v>40</v>
      </c>
      <c r="L1" s="16" t="s">
        <v>41</v>
      </c>
      <c r="M1" s="17" t="s">
        <v>42</v>
      </c>
      <c r="N1" s="17" t="s">
        <v>43</v>
      </c>
      <c r="O1" s="16" t="s">
        <v>41</v>
      </c>
      <c r="P1" s="16" t="s">
        <v>44</v>
      </c>
      <c r="Q1" s="17" t="s">
        <v>42</v>
      </c>
      <c r="R1" s="17" t="s">
        <v>43</v>
      </c>
      <c r="S1" s="17" t="s">
        <v>5</v>
      </c>
      <c r="T1" s="17" t="s">
        <v>45</v>
      </c>
      <c r="U1" s="17" t="s">
        <v>46</v>
      </c>
      <c r="V1" s="17" t="s">
        <v>47</v>
      </c>
      <c r="W1" s="17" t="s">
        <v>48</v>
      </c>
    </row>
    <row r="2" spans="1:33" ht="14.25" customHeight="1" x14ac:dyDescent="0.3">
      <c r="A2" s="18" t="s">
        <v>49</v>
      </c>
      <c r="B2" s="18" t="s">
        <v>50</v>
      </c>
      <c r="C2" s="18" t="s">
        <v>51</v>
      </c>
      <c r="D2" s="18" t="s">
        <v>52</v>
      </c>
      <c r="E2" s="18" t="s">
        <v>53</v>
      </c>
      <c r="F2" s="18" t="s">
        <v>54</v>
      </c>
      <c r="G2" s="18">
        <v>8</v>
      </c>
      <c r="H2" s="18">
        <v>32</v>
      </c>
      <c r="I2" s="18">
        <v>32</v>
      </c>
      <c r="J2" s="18">
        <v>1</v>
      </c>
      <c r="K2" s="19" t="s">
        <v>55</v>
      </c>
      <c r="L2" s="18" t="s">
        <v>56</v>
      </c>
      <c r="M2" s="18" t="s">
        <v>57</v>
      </c>
      <c r="N2" s="18" t="s">
        <v>10</v>
      </c>
      <c r="O2" s="60" t="s">
        <v>373</v>
      </c>
      <c r="P2" s="18" t="s">
        <v>59</v>
      </c>
      <c r="Q2" s="18" t="s">
        <v>60</v>
      </c>
      <c r="R2" s="18">
        <f t="shared" ref="R2:R7" si="0">IF(ISBLANK($U$4),"",$U$4)</f>
        <v>300</v>
      </c>
      <c r="S2" s="18">
        <f t="shared" ref="S2:S7" ca="1" si="1">$S$4</f>
        <v>606</v>
      </c>
      <c r="T2" s="18">
        <v>64</v>
      </c>
      <c r="U2" s="18">
        <v>300</v>
      </c>
      <c r="V2" s="18" t="s">
        <v>61</v>
      </c>
      <c r="W2" s="5" t="s">
        <v>62</v>
      </c>
      <c r="AA2" s="5">
        <v>107</v>
      </c>
      <c r="AB2" s="5" t="s">
        <v>63</v>
      </c>
      <c r="AC2" s="5" t="s">
        <v>64</v>
      </c>
      <c r="AD2" s="5">
        <v>21</v>
      </c>
      <c r="AE2" s="5">
        <v>500</v>
      </c>
      <c r="AF2" s="5">
        <f t="shared" ref="AF2:AF4" si="2">AD2*AE2</f>
        <v>10500</v>
      </c>
      <c r="AG2" s="62">
        <f>SUM(AF2:AF3)</f>
        <v>20740</v>
      </c>
    </row>
    <row r="3" spans="1:33" ht="14.25" customHeight="1" x14ac:dyDescent="0.3">
      <c r="A3" s="18" t="s">
        <v>65</v>
      </c>
      <c r="B3" s="18" t="s">
        <v>50</v>
      </c>
      <c r="C3" s="18" t="s">
        <v>51</v>
      </c>
      <c r="D3" s="18" t="s">
        <v>52</v>
      </c>
      <c r="E3" s="18" t="s">
        <v>53</v>
      </c>
      <c r="F3" s="18" t="s">
        <v>54</v>
      </c>
      <c r="G3" s="18">
        <v>8</v>
      </c>
      <c r="H3" s="18">
        <v>32</v>
      </c>
      <c r="I3" s="18">
        <v>32</v>
      </c>
      <c r="J3" s="18">
        <v>1</v>
      </c>
      <c r="K3" s="19" t="s">
        <v>55</v>
      </c>
      <c r="L3" s="18" t="s">
        <v>66</v>
      </c>
      <c r="M3" s="18" t="s">
        <v>67</v>
      </c>
      <c r="N3" s="18" t="s">
        <v>10</v>
      </c>
      <c r="O3" s="60" t="s">
        <v>374</v>
      </c>
      <c r="P3" s="18" t="s">
        <v>59</v>
      </c>
      <c r="Q3" s="18" t="s">
        <v>69</v>
      </c>
      <c r="R3" s="18">
        <f t="shared" si="0"/>
        <v>300</v>
      </c>
      <c r="S3" s="18">
        <f t="shared" ca="1" si="1"/>
        <v>606</v>
      </c>
      <c r="T3" s="18">
        <v>64</v>
      </c>
      <c r="U3" s="18">
        <v>300</v>
      </c>
      <c r="V3" s="18" t="s">
        <v>61</v>
      </c>
      <c r="W3" s="5" t="s">
        <v>62</v>
      </c>
      <c r="AC3" s="5" t="s">
        <v>70</v>
      </c>
      <c r="AD3" s="5">
        <v>10</v>
      </c>
      <c r="AE3" s="5">
        <v>1024</v>
      </c>
      <c r="AF3" s="5">
        <f t="shared" si="2"/>
        <v>10240</v>
      </c>
      <c r="AG3" s="63"/>
    </row>
    <row r="4" spans="1:33" ht="14.25" customHeight="1" x14ac:dyDescent="0.3">
      <c r="A4" s="18" t="s">
        <v>71</v>
      </c>
      <c r="B4" s="18" t="s">
        <v>50</v>
      </c>
      <c r="C4" s="18" t="s">
        <v>51</v>
      </c>
      <c r="D4" s="18" t="s">
        <v>52</v>
      </c>
      <c r="E4" s="18" t="s">
        <v>53</v>
      </c>
      <c r="F4" s="18" t="s">
        <v>54</v>
      </c>
      <c r="G4" s="18">
        <v>8</v>
      </c>
      <c r="H4" s="18">
        <v>32</v>
      </c>
      <c r="I4" s="18">
        <v>32</v>
      </c>
      <c r="J4" s="18">
        <v>1</v>
      </c>
      <c r="K4" s="19" t="s">
        <v>55</v>
      </c>
      <c r="L4" s="18" t="s">
        <v>72</v>
      </c>
      <c r="M4" s="18" t="s">
        <v>73</v>
      </c>
      <c r="N4" s="18" t="s">
        <v>10</v>
      </c>
      <c r="O4" s="60" t="s">
        <v>375</v>
      </c>
      <c r="P4" s="18" t="s">
        <v>59</v>
      </c>
      <c r="Q4" s="18" t="s">
        <v>75</v>
      </c>
      <c r="R4" s="18">
        <f t="shared" si="0"/>
        <v>300</v>
      </c>
      <c r="S4" s="18">
        <f t="shared" ca="1" si="1"/>
        <v>606</v>
      </c>
      <c r="T4" s="18">
        <v>64</v>
      </c>
      <c r="U4" s="18">
        <v>300</v>
      </c>
      <c r="V4" s="18" t="s">
        <v>61</v>
      </c>
      <c r="W4" s="5" t="s">
        <v>62</v>
      </c>
      <c r="AA4" s="5">
        <v>108</v>
      </c>
      <c r="AB4" s="5" t="s">
        <v>76</v>
      </c>
      <c r="AC4" s="5" t="s">
        <v>77</v>
      </c>
      <c r="AD4" s="5">
        <v>6</v>
      </c>
      <c r="AE4" s="5">
        <v>500</v>
      </c>
      <c r="AF4" s="5">
        <f t="shared" si="2"/>
        <v>3000</v>
      </c>
      <c r="AG4" s="5">
        <f>AF4</f>
        <v>3000</v>
      </c>
    </row>
    <row r="5" spans="1:33" ht="14.25" customHeight="1" x14ac:dyDescent="0.3">
      <c r="A5" s="18" t="s">
        <v>78</v>
      </c>
      <c r="B5" s="18" t="s">
        <v>50</v>
      </c>
      <c r="C5" s="18" t="s">
        <v>51</v>
      </c>
      <c r="D5" s="18" t="s">
        <v>52</v>
      </c>
      <c r="E5" s="18" t="s">
        <v>53</v>
      </c>
      <c r="F5" s="18">
        <v>4</v>
      </c>
      <c r="G5" s="18">
        <v>4</v>
      </c>
      <c r="H5" s="18">
        <v>16</v>
      </c>
      <c r="I5" s="18">
        <v>16</v>
      </c>
      <c r="J5" s="18">
        <v>1</v>
      </c>
      <c r="K5" s="19" t="s">
        <v>55</v>
      </c>
      <c r="L5" s="18" t="s">
        <v>79</v>
      </c>
      <c r="M5" s="18" t="s">
        <v>80</v>
      </c>
      <c r="N5" s="18" t="s">
        <v>10</v>
      </c>
      <c r="O5" s="60" t="s">
        <v>376</v>
      </c>
      <c r="P5" s="18" t="s">
        <v>59</v>
      </c>
      <c r="Q5" s="18" t="s">
        <v>82</v>
      </c>
      <c r="R5" s="18">
        <f t="shared" si="0"/>
        <v>300</v>
      </c>
      <c r="S5" s="18">
        <f t="shared" ca="1" si="1"/>
        <v>606</v>
      </c>
      <c r="T5" s="18">
        <v>64</v>
      </c>
      <c r="U5" s="18">
        <v>20</v>
      </c>
      <c r="V5" s="18" t="s">
        <v>61</v>
      </c>
      <c r="W5" s="5" t="s">
        <v>83</v>
      </c>
      <c r="AG5" s="5">
        <f>SUM(AG2:AG4)</f>
        <v>23740</v>
      </c>
    </row>
    <row r="6" spans="1:33" ht="14.25" customHeight="1" x14ac:dyDescent="0.3">
      <c r="A6" s="18" t="s">
        <v>84</v>
      </c>
      <c r="B6" s="18" t="s">
        <v>50</v>
      </c>
      <c r="C6" s="18" t="s">
        <v>51</v>
      </c>
      <c r="D6" s="18" t="s">
        <v>52</v>
      </c>
      <c r="E6" s="18" t="s">
        <v>53</v>
      </c>
      <c r="F6" s="18">
        <v>16</v>
      </c>
      <c r="G6" s="18">
        <v>16</v>
      </c>
      <c r="H6" s="18">
        <v>64</v>
      </c>
      <c r="I6" s="18">
        <v>64</v>
      </c>
      <c r="J6" s="18">
        <v>1</v>
      </c>
      <c r="K6" s="19" t="s">
        <v>55</v>
      </c>
      <c r="L6" s="18" t="s">
        <v>85</v>
      </c>
      <c r="M6" s="18" t="s">
        <v>86</v>
      </c>
      <c r="N6" s="18" t="s">
        <v>10</v>
      </c>
      <c r="O6" s="60" t="s">
        <v>377</v>
      </c>
      <c r="P6" s="18" t="s">
        <v>59</v>
      </c>
      <c r="Q6" s="18" t="s">
        <v>88</v>
      </c>
      <c r="R6" s="18">
        <f t="shared" si="0"/>
        <v>300</v>
      </c>
      <c r="S6" s="18">
        <f t="shared" ca="1" si="1"/>
        <v>606</v>
      </c>
      <c r="T6" s="18">
        <v>64</v>
      </c>
      <c r="U6" s="18">
        <v>450</v>
      </c>
      <c r="V6" s="18" t="s">
        <v>89</v>
      </c>
      <c r="W6" s="5" t="s">
        <v>62</v>
      </c>
    </row>
    <row r="7" spans="1:33" ht="14.25" customHeight="1" x14ac:dyDescent="0.3">
      <c r="A7" s="18" t="s">
        <v>90</v>
      </c>
      <c r="B7" s="18" t="s">
        <v>50</v>
      </c>
      <c r="C7" s="18" t="s">
        <v>91</v>
      </c>
      <c r="D7" s="18" t="s">
        <v>52</v>
      </c>
      <c r="E7" s="18" t="s">
        <v>92</v>
      </c>
      <c r="F7" s="18">
        <v>16</v>
      </c>
      <c r="G7" s="18">
        <v>16</v>
      </c>
      <c r="H7" s="18">
        <v>64</v>
      </c>
      <c r="I7" s="18">
        <v>64</v>
      </c>
      <c r="J7" s="18">
        <v>1</v>
      </c>
      <c r="K7" s="19" t="s">
        <v>55</v>
      </c>
      <c r="L7" s="18" t="s">
        <v>93</v>
      </c>
      <c r="M7" s="18" t="s">
        <v>94</v>
      </c>
      <c r="N7" s="18" t="s">
        <v>10</v>
      </c>
      <c r="O7" s="60" t="s">
        <v>378</v>
      </c>
      <c r="P7" s="18" t="s">
        <v>59</v>
      </c>
      <c r="Q7" s="18" t="s">
        <v>96</v>
      </c>
      <c r="R7" s="18">
        <f t="shared" si="0"/>
        <v>300</v>
      </c>
      <c r="S7" s="18">
        <f t="shared" ca="1" si="1"/>
        <v>606</v>
      </c>
      <c r="T7" s="18">
        <v>150</v>
      </c>
      <c r="U7" s="18">
        <v>150</v>
      </c>
      <c r="V7" s="18"/>
    </row>
    <row r="8" spans="1:33" ht="14.25" customHeight="1" x14ac:dyDescent="0.3">
      <c r="A8" s="16" t="s">
        <v>31</v>
      </c>
      <c r="B8" s="16" t="s">
        <v>32</v>
      </c>
      <c r="C8" s="16" t="s">
        <v>33</v>
      </c>
      <c r="D8" s="16" t="s">
        <v>34</v>
      </c>
      <c r="E8" s="16" t="s">
        <v>35</v>
      </c>
      <c r="F8" s="16" t="s">
        <v>36</v>
      </c>
      <c r="G8" s="16" t="s">
        <v>37</v>
      </c>
      <c r="H8" s="16" t="s">
        <v>38</v>
      </c>
      <c r="I8" s="16" t="s">
        <v>38</v>
      </c>
      <c r="J8" s="16" t="s">
        <v>39</v>
      </c>
      <c r="K8" s="16" t="s">
        <v>40</v>
      </c>
      <c r="L8" s="16" t="s">
        <v>41</v>
      </c>
      <c r="M8" s="17" t="s">
        <v>42</v>
      </c>
      <c r="N8" s="17" t="s">
        <v>43</v>
      </c>
      <c r="O8" s="16" t="s">
        <v>41</v>
      </c>
      <c r="P8" s="16" t="s">
        <v>44</v>
      </c>
      <c r="Q8" s="17" t="s">
        <v>42</v>
      </c>
      <c r="R8" s="17" t="s">
        <v>43</v>
      </c>
      <c r="S8" s="17" t="s">
        <v>5</v>
      </c>
      <c r="T8" s="17" t="s">
        <v>45</v>
      </c>
      <c r="U8" s="17" t="s">
        <v>46</v>
      </c>
      <c r="V8" s="17" t="s">
        <v>47</v>
      </c>
      <c r="W8" s="17" t="s">
        <v>48</v>
      </c>
    </row>
    <row r="9" spans="1:33" ht="14.25" customHeight="1" x14ac:dyDescent="0.3">
      <c r="A9" s="20" t="s">
        <v>49</v>
      </c>
      <c r="B9" s="20" t="s">
        <v>104</v>
      </c>
      <c r="C9" s="20" t="s">
        <v>51</v>
      </c>
      <c r="D9" s="20" t="s">
        <v>52</v>
      </c>
      <c r="E9" s="20" t="s">
        <v>53</v>
      </c>
      <c r="F9" s="20" t="s">
        <v>54</v>
      </c>
      <c r="G9" s="20">
        <v>8</v>
      </c>
      <c r="H9" s="20">
        <v>32</v>
      </c>
      <c r="I9" s="20">
        <v>32</v>
      </c>
      <c r="J9" s="20">
        <v>1</v>
      </c>
      <c r="K9" s="21" t="s">
        <v>105</v>
      </c>
      <c r="L9" s="20" t="s">
        <v>106</v>
      </c>
      <c r="M9" s="20" t="s">
        <v>107</v>
      </c>
      <c r="N9" s="20" t="s">
        <v>10</v>
      </c>
      <c r="O9" s="61" t="s">
        <v>379</v>
      </c>
      <c r="P9" s="20" t="s">
        <v>59</v>
      </c>
      <c r="Q9" s="20" t="s">
        <v>109</v>
      </c>
      <c r="R9" s="20">
        <f t="shared" ref="R9:R15" si="3">IF(ISBLANK($U$5),"",$U$5)</f>
        <v>20</v>
      </c>
      <c r="S9" s="20">
        <f t="shared" ref="S9:S15" ca="1" si="4">$S$5</f>
        <v>605</v>
      </c>
      <c r="T9" s="20">
        <v>64</v>
      </c>
      <c r="U9" s="20">
        <v>300</v>
      </c>
      <c r="V9" s="20" t="s">
        <v>61</v>
      </c>
      <c r="W9" s="5" t="s">
        <v>62</v>
      </c>
    </row>
    <row r="10" spans="1:33" ht="14.25" customHeight="1" x14ac:dyDescent="0.3">
      <c r="A10" s="20" t="s">
        <v>65</v>
      </c>
      <c r="B10" s="20" t="s">
        <v>104</v>
      </c>
      <c r="C10" s="20" t="s">
        <v>51</v>
      </c>
      <c r="D10" s="20" t="s">
        <v>52</v>
      </c>
      <c r="E10" s="20" t="s">
        <v>53</v>
      </c>
      <c r="F10" s="20" t="s">
        <v>54</v>
      </c>
      <c r="G10" s="20">
        <v>8</v>
      </c>
      <c r="H10" s="20">
        <v>32</v>
      </c>
      <c r="I10" s="20">
        <v>32</v>
      </c>
      <c r="J10" s="20">
        <v>1</v>
      </c>
      <c r="K10" s="21" t="s">
        <v>105</v>
      </c>
      <c r="L10" s="20" t="s">
        <v>110</v>
      </c>
      <c r="M10" s="20" t="s">
        <v>111</v>
      </c>
      <c r="N10" s="20" t="s">
        <v>10</v>
      </c>
      <c r="O10" s="61" t="s">
        <v>380</v>
      </c>
      <c r="P10" s="20" t="s">
        <v>59</v>
      </c>
      <c r="Q10" s="20" t="s">
        <v>113</v>
      </c>
      <c r="R10" s="20">
        <f t="shared" si="3"/>
        <v>20</v>
      </c>
      <c r="S10" s="20">
        <f t="shared" ca="1" si="4"/>
        <v>605</v>
      </c>
      <c r="T10" s="20">
        <v>64</v>
      </c>
      <c r="U10" s="20">
        <v>300</v>
      </c>
      <c r="V10" s="20" t="s">
        <v>61</v>
      </c>
      <c r="W10" s="5" t="s">
        <v>62</v>
      </c>
    </row>
    <row r="11" spans="1:33" ht="14.25" customHeight="1" x14ac:dyDescent="0.3">
      <c r="A11" s="20" t="s">
        <v>71</v>
      </c>
      <c r="B11" s="20" t="s">
        <v>104</v>
      </c>
      <c r="C11" s="20" t="s">
        <v>51</v>
      </c>
      <c r="D11" s="20" t="s">
        <v>52</v>
      </c>
      <c r="E11" s="20" t="s">
        <v>53</v>
      </c>
      <c r="F11" s="20" t="s">
        <v>54</v>
      </c>
      <c r="G11" s="20">
        <v>8</v>
      </c>
      <c r="H11" s="20">
        <v>32</v>
      </c>
      <c r="I11" s="20">
        <v>32</v>
      </c>
      <c r="J11" s="20">
        <v>1</v>
      </c>
      <c r="K11" s="21" t="s">
        <v>105</v>
      </c>
      <c r="L11" s="20" t="s">
        <v>114</v>
      </c>
      <c r="M11" s="20" t="s">
        <v>115</v>
      </c>
      <c r="N11" s="20" t="s">
        <v>10</v>
      </c>
      <c r="O11" s="61" t="s">
        <v>381</v>
      </c>
      <c r="P11" s="20" t="s">
        <v>59</v>
      </c>
      <c r="Q11" s="20" t="s">
        <v>117</v>
      </c>
      <c r="R11" s="20">
        <f t="shared" si="3"/>
        <v>20</v>
      </c>
      <c r="S11" s="20">
        <f t="shared" ca="1" si="4"/>
        <v>605</v>
      </c>
      <c r="T11" s="20">
        <v>64</v>
      </c>
      <c r="U11" s="20">
        <v>300</v>
      </c>
      <c r="V11" s="20" t="s">
        <v>61</v>
      </c>
      <c r="W11" s="5" t="s">
        <v>62</v>
      </c>
    </row>
    <row r="12" spans="1:33" ht="14.25" customHeight="1" x14ac:dyDescent="0.3">
      <c r="A12" s="20" t="s">
        <v>118</v>
      </c>
      <c r="B12" s="20" t="s">
        <v>104</v>
      </c>
      <c r="C12" s="20" t="s">
        <v>51</v>
      </c>
      <c r="D12" s="20" t="s">
        <v>52</v>
      </c>
      <c r="E12" s="20" t="s">
        <v>53</v>
      </c>
      <c r="F12" s="20">
        <v>4</v>
      </c>
      <c r="G12" s="20">
        <v>4</v>
      </c>
      <c r="H12" s="20">
        <v>16</v>
      </c>
      <c r="I12" s="20">
        <v>16</v>
      </c>
      <c r="J12" s="20">
        <v>1</v>
      </c>
      <c r="K12" s="21" t="s">
        <v>105</v>
      </c>
      <c r="L12" s="20" t="s">
        <v>119</v>
      </c>
      <c r="M12" s="20" t="s">
        <v>120</v>
      </c>
      <c r="N12" s="20" t="s">
        <v>10</v>
      </c>
      <c r="O12" s="61" t="s">
        <v>382</v>
      </c>
      <c r="P12" s="20" t="s">
        <v>59</v>
      </c>
      <c r="Q12" s="20" t="s">
        <v>122</v>
      </c>
      <c r="R12" s="20">
        <f t="shared" si="3"/>
        <v>20</v>
      </c>
      <c r="S12" s="20">
        <f t="shared" ca="1" si="4"/>
        <v>605</v>
      </c>
      <c r="T12" s="20">
        <v>64</v>
      </c>
      <c r="U12" s="20">
        <v>20</v>
      </c>
      <c r="V12" s="20" t="s">
        <v>61</v>
      </c>
      <c r="W12" s="5" t="s">
        <v>83</v>
      </c>
    </row>
    <row r="13" spans="1:33" ht="14.25" customHeight="1" x14ac:dyDescent="0.3">
      <c r="A13" s="20" t="s">
        <v>84</v>
      </c>
      <c r="B13" s="20" t="s">
        <v>104</v>
      </c>
      <c r="C13" s="20" t="s">
        <v>51</v>
      </c>
      <c r="D13" s="20" t="s">
        <v>52</v>
      </c>
      <c r="E13" s="20" t="s">
        <v>53</v>
      </c>
      <c r="F13" s="20">
        <v>24</v>
      </c>
      <c r="G13" s="20">
        <v>24</v>
      </c>
      <c r="H13" s="20">
        <v>128</v>
      </c>
      <c r="I13" s="20">
        <v>128</v>
      </c>
      <c r="J13" s="20">
        <v>1</v>
      </c>
      <c r="K13" s="21" t="s">
        <v>105</v>
      </c>
      <c r="L13" s="20" t="s">
        <v>123</v>
      </c>
      <c r="M13" s="20" t="s">
        <v>124</v>
      </c>
      <c r="N13" s="20" t="s">
        <v>10</v>
      </c>
      <c r="O13" s="61" t="s">
        <v>383</v>
      </c>
      <c r="P13" s="20" t="s">
        <v>59</v>
      </c>
      <c r="Q13" s="20" t="s">
        <v>126</v>
      </c>
      <c r="R13" s="20">
        <f t="shared" si="3"/>
        <v>20</v>
      </c>
      <c r="S13" s="20">
        <f t="shared" ca="1" si="4"/>
        <v>605</v>
      </c>
      <c r="T13" s="20">
        <v>64</v>
      </c>
      <c r="U13" s="20">
        <v>450</v>
      </c>
      <c r="V13" s="20" t="s">
        <v>89</v>
      </c>
      <c r="W13" s="5" t="s">
        <v>62</v>
      </c>
    </row>
    <row r="14" spans="1:33" ht="14.25" customHeight="1" x14ac:dyDescent="0.3">
      <c r="A14" s="20" t="s">
        <v>127</v>
      </c>
      <c r="B14" s="20" t="s">
        <v>104</v>
      </c>
      <c r="C14" s="20" t="s">
        <v>51</v>
      </c>
      <c r="D14" s="20" t="s">
        <v>52</v>
      </c>
      <c r="E14" s="20" t="s">
        <v>53</v>
      </c>
      <c r="F14" s="20">
        <v>4</v>
      </c>
      <c r="G14" s="20">
        <v>4</v>
      </c>
      <c r="H14" s="20">
        <v>16</v>
      </c>
      <c r="I14" s="20">
        <v>16</v>
      </c>
      <c r="J14" s="20">
        <v>1</v>
      </c>
      <c r="K14" s="21" t="s">
        <v>105</v>
      </c>
      <c r="L14" s="20" t="s">
        <v>128</v>
      </c>
      <c r="M14" s="20" t="s">
        <v>129</v>
      </c>
      <c r="N14" s="20" t="s">
        <v>10</v>
      </c>
      <c r="O14" s="61" t="s">
        <v>384</v>
      </c>
      <c r="P14" s="20" t="s">
        <v>59</v>
      </c>
      <c r="Q14" s="20" t="s">
        <v>131</v>
      </c>
      <c r="R14" s="20">
        <f t="shared" si="3"/>
        <v>20</v>
      </c>
      <c r="S14" s="20">
        <f t="shared" ca="1" si="4"/>
        <v>605</v>
      </c>
      <c r="T14" s="20">
        <v>64</v>
      </c>
      <c r="U14" s="20">
        <v>50</v>
      </c>
      <c r="V14" s="20" t="s">
        <v>61</v>
      </c>
      <c r="W14" s="5" t="s">
        <v>62</v>
      </c>
    </row>
    <row r="15" spans="1:33" ht="14.25" customHeight="1" x14ac:dyDescent="0.3">
      <c r="A15" s="20" t="s">
        <v>90</v>
      </c>
      <c r="B15" s="20" t="s">
        <v>104</v>
      </c>
      <c r="C15" s="20" t="s">
        <v>91</v>
      </c>
      <c r="D15" s="20" t="s">
        <v>52</v>
      </c>
      <c r="E15" s="20" t="s">
        <v>92</v>
      </c>
      <c r="F15" s="20">
        <v>16</v>
      </c>
      <c r="G15" s="20">
        <v>16</v>
      </c>
      <c r="H15" s="20">
        <v>64</v>
      </c>
      <c r="I15" s="20">
        <v>64</v>
      </c>
      <c r="J15" s="20">
        <v>1</v>
      </c>
      <c r="K15" s="21" t="s">
        <v>105</v>
      </c>
      <c r="L15" s="20" t="s">
        <v>132</v>
      </c>
      <c r="M15" s="20" t="s">
        <v>133</v>
      </c>
      <c r="N15" s="20" t="s">
        <v>10</v>
      </c>
      <c r="O15" s="61" t="s">
        <v>385</v>
      </c>
      <c r="P15" s="20" t="s">
        <v>59</v>
      </c>
      <c r="Q15" s="20" t="s">
        <v>135</v>
      </c>
      <c r="R15" s="20">
        <f t="shared" si="3"/>
        <v>20</v>
      </c>
      <c r="S15" s="20">
        <f t="shared" ca="1" si="4"/>
        <v>605</v>
      </c>
      <c r="T15" s="20">
        <v>150</v>
      </c>
      <c r="U15" s="20">
        <v>150</v>
      </c>
      <c r="V15" s="20"/>
    </row>
  </sheetData>
  <mergeCells count="1">
    <mergeCell ref="AG2:AG3"/>
  </mergeCells>
  <phoneticPr fontId="1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FB15-1DF0-45EF-8489-0DFCAEE2D72E}">
  <dimension ref="A1:M4"/>
  <sheetViews>
    <sheetView workbookViewId="0">
      <selection activeCell="A8" sqref="A8"/>
    </sheetView>
  </sheetViews>
  <sheetFormatPr defaultRowHeight="15.05" x14ac:dyDescent="0.3"/>
  <cols>
    <col min="1" max="1" width="18.77734375" style="59" customWidth="1"/>
    <col min="2" max="2" width="16" style="59" customWidth="1"/>
    <col min="3" max="4" width="8.88671875" style="59"/>
    <col min="5" max="5" width="11.88671875" style="59" customWidth="1"/>
    <col min="6" max="7" width="8.88671875" style="59"/>
    <col min="8" max="8" width="25.21875" style="59" customWidth="1"/>
    <col min="9" max="16384" width="8.88671875" style="59"/>
  </cols>
  <sheetData>
    <row r="1" spans="1:13" ht="15.65" customHeight="1" thickBot="1" x14ac:dyDescent="0.35">
      <c r="A1" s="58" t="s">
        <v>386</v>
      </c>
      <c r="B1" s="58" t="s">
        <v>57</v>
      </c>
      <c r="C1" s="58" t="s">
        <v>56</v>
      </c>
      <c r="D1" s="58" t="s">
        <v>252</v>
      </c>
      <c r="E1" s="58" t="s">
        <v>49</v>
      </c>
      <c r="F1" s="58" t="s">
        <v>253</v>
      </c>
      <c r="G1" s="58"/>
      <c r="H1" s="58" t="s">
        <v>254</v>
      </c>
      <c r="I1" s="58" t="s">
        <v>255</v>
      </c>
      <c r="J1" s="58" t="s">
        <v>256</v>
      </c>
      <c r="K1" s="58" t="s">
        <v>257</v>
      </c>
      <c r="L1" s="58" t="s">
        <v>258</v>
      </c>
      <c r="M1" s="58" t="s">
        <v>258</v>
      </c>
    </row>
    <row r="2" spans="1:13" ht="15.65" thickBot="1" x14ac:dyDescent="0.35">
      <c r="A2" s="58" t="s">
        <v>387</v>
      </c>
      <c r="B2" s="58" t="s">
        <v>67</v>
      </c>
      <c r="C2" s="58" t="s">
        <v>66</v>
      </c>
      <c r="D2" s="58" t="s">
        <v>260</v>
      </c>
      <c r="E2" s="58" t="s">
        <v>65</v>
      </c>
      <c r="F2" s="58" t="s">
        <v>253</v>
      </c>
      <c r="G2" s="58"/>
      <c r="H2" s="58" t="s">
        <v>254</v>
      </c>
      <c r="I2" s="58" t="s">
        <v>255</v>
      </c>
      <c r="J2" s="58" t="s">
        <v>256</v>
      </c>
      <c r="K2" s="58" t="s">
        <v>257</v>
      </c>
      <c r="L2" s="58" t="s">
        <v>258</v>
      </c>
      <c r="M2" s="58" t="s">
        <v>258</v>
      </c>
    </row>
    <row r="3" spans="1:13" ht="15.65" thickBot="1" x14ac:dyDescent="0.35">
      <c r="A3" s="58" t="s">
        <v>388</v>
      </c>
      <c r="B3" s="58" t="s">
        <v>73</v>
      </c>
      <c r="C3" s="58" t="s">
        <v>72</v>
      </c>
      <c r="D3" s="58" t="s">
        <v>262</v>
      </c>
      <c r="E3" s="58" t="s">
        <v>71</v>
      </c>
      <c r="F3" s="58" t="s">
        <v>253</v>
      </c>
      <c r="G3" s="58"/>
      <c r="H3" s="58" t="s">
        <v>254</v>
      </c>
      <c r="I3" s="58" t="s">
        <v>255</v>
      </c>
      <c r="J3" s="58" t="s">
        <v>256</v>
      </c>
      <c r="K3" s="58" t="s">
        <v>257</v>
      </c>
      <c r="L3" s="58" t="s">
        <v>258</v>
      </c>
      <c r="M3" s="58" t="s">
        <v>258</v>
      </c>
    </row>
    <row r="4" spans="1:13" x14ac:dyDescent="0.3">
      <c r="A4" s="58" t="s">
        <v>389</v>
      </c>
      <c r="B4" s="58" t="s">
        <v>80</v>
      </c>
      <c r="C4" s="58" t="s">
        <v>79</v>
      </c>
      <c r="D4" s="58" t="s">
        <v>264</v>
      </c>
      <c r="E4" s="58" t="s">
        <v>118</v>
      </c>
      <c r="F4" s="58" t="s">
        <v>265</v>
      </c>
      <c r="G4" s="58"/>
      <c r="H4" s="58" t="s">
        <v>254</v>
      </c>
      <c r="I4" s="58" t="s">
        <v>266</v>
      </c>
      <c r="J4" s="58" t="s">
        <v>267</v>
      </c>
      <c r="K4" s="58" t="s">
        <v>268</v>
      </c>
      <c r="L4" s="58" t="s">
        <v>258</v>
      </c>
      <c r="M4" s="58" t="s">
        <v>258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selection activeCell="B3" sqref="B3:N6"/>
    </sheetView>
  </sheetViews>
  <sheetFormatPr defaultColWidth="12.6640625" defaultRowHeight="15.05" customHeight="1" x14ac:dyDescent="0.3"/>
  <cols>
    <col min="1" max="1" width="7.6640625" customWidth="1"/>
    <col min="2" max="2" width="11.44140625" customWidth="1"/>
    <col min="3" max="3" width="11.6640625" customWidth="1"/>
    <col min="4" max="4" width="10.77734375" customWidth="1"/>
    <col min="5" max="5" width="7.6640625" customWidth="1"/>
    <col min="6" max="6" width="13.6640625" customWidth="1"/>
    <col min="7" max="7" width="7.6640625" customWidth="1"/>
    <col min="8" max="8" width="10.109375" customWidth="1"/>
    <col min="9" max="9" width="16.109375" customWidth="1"/>
    <col min="10" max="15" width="7.6640625" customWidth="1"/>
    <col min="16" max="16" width="11.6640625" customWidth="1"/>
    <col min="17" max="26" width="7.6640625" customWidth="1"/>
  </cols>
  <sheetData>
    <row r="1" spans="1:16" ht="14.25" customHeight="1" x14ac:dyDescent="0.3">
      <c r="A1" s="30" t="s">
        <v>228</v>
      </c>
      <c r="B1" s="31" t="s">
        <v>229</v>
      </c>
      <c r="C1" s="31" t="s">
        <v>230</v>
      </c>
      <c r="D1" s="31" t="s">
        <v>41</v>
      </c>
      <c r="E1" s="31" t="s">
        <v>231</v>
      </c>
      <c r="F1" s="31" t="s">
        <v>232</v>
      </c>
      <c r="G1" s="31" t="s">
        <v>233</v>
      </c>
      <c r="H1" s="31" t="s">
        <v>33</v>
      </c>
      <c r="I1" s="31" t="s">
        <v>234</v>
      </c>
      <c r="J1" s="31" t="s">
        <v>235</v>
      </c>
      <c r="K1" s="31" t="s">
        <v>236</v>
      </c>
      <c r="L1" s="31" t="s">
        <v>237</v>
      </c>
      <c r="M1" s="31" t="s">
        <v>238</v>
      </c>
      <c r="N1" s="31" t="s">
        <v>239</v>
      </c>
      <c r="O1" s="31" t="s">
        <v>240</v>
      </c>
      <c r="P1" s="32" t="s">
        <v>241</v>
      </c>
    </row>
    <row r="2" spans="1:16" ht="14.25" customHeight="1" x14ac:dyDescent="0.3">
      <c r="A2" s="30" t="s">
        <v>50</v>
      </c>
      <c r="B2" s="33" t="s">
        <v>242</v>
      </c>
      <c r="C2" s="33" t="s">
        <v>243</v>
      </c>
      <c r="D2" s="33" t="s">
        <v>244</v>
      </c>
      <c r="E2" s="33"/>
      <c r="F2" s="33" t="s">
        <v>245</v>
      </c>
      <c r="G2" s="33"/>
      <c r="H2" s="33" t="s">
        <v>246</v>
      </c>
      <c r="I2" s="33" t="s">
        <v>247</v>
      </c>
      <c r="J2" s="33">
        <v>4</v>
      </c>
      <c r="K2" s="33">
        <v>16</v>
      </c>
      <c r="L2" s="33" t="s">
        <v>248</v>
      </c>
      <c r="M2" s="33" t="s">
        <v>249</v>
      </c>
      <c r="N2" s="33" t="s">
        <v>250</v>
      </c>
      <c r="O2" s="33"/>
      <c r="P2" s="34"/>
    </row>
    <row r="3" spans="1:16" ht="14.25" customHeight="1" x14ac:dyDescent="0.3">
      <c r="A3" s="35"/>
      <c r="B3" s="33" t="s">
        <v>251</v>
      </c>
      <c r="C3" s="33" t="s">
        <v>57</v>
      </c>
      <c r="D3" s="33" t="s">
        <v>56</v>
      </c>
      <c r="E3" s="33" t="s">
        <v>252</v>
      </c>
      <c r="F3" s="33" t="s">
        <v>49</v>
      </c>
      <c r="G3" s="33" t="s">
        <v>253</v>
      </c>
      <c r="H3" s="33"/>
      <c r="I3" s="33" t="s">
        <v>254</v>
      </c>
      <c r="J3" s="33" t="s">
        <v>255</v>
      </c>
      <c r="K3" s="33" t="s">
        <v>256</v>
      </c>
      <c r="L3" s="33" t="s">
        <v>257</v>
      </c>
      <c r="M3" s="33" t="s">
        <v>258</v>
      </c>
      <c r="N3" s="33" t="s">
        <v>258</v>
      </c>
      <c r="O3" s="33"/>
      <c r="P3" s="34"/>
    </row>
    <row r="4" spans="1:16" ht="14.25" customHeight="1" x14ac:dyDescent="0.3">
      <c r="A4" s="35"/>
      <c r="B4" s="33" t="s">
        <v>259</v>
      </c>
      <c r="C4" s="33" t="s">
        <v>67</v>
      </c>
      <c r="D4" s="33" t="s">
        <v>66</v>
      </c>
      <c r="E4" s="33" t="s">
        <v>260</v>
      </c>
      <c r="F4" s="33" t="s">
        <v>65</v>
      </c>
      <c r="G4" s="33" t="s">
        <v>253</v>
      </c>
      <c r="H4" s="33"/>
      <c r="I4" s="33" t="s">
        <v>254</v>
      </c>
      <c r="J4" s="33" t="s">
        <v>255</v>
      </c>
      <c r="K4" s="33" t="s">
        <v>256</v>
      </c>
      <c r="L4" s="33" t="s">
        <v>257</v>
      </c>
      <c r="M4" s="33" t="s">
        <v>258</v>
      </c>
      <c r="N4" s="33" t="s">
        <v>258</v>
      </c>
      <c r="O4" s="33"/>
      <c r="P4" s="34"/>
    </row>
    <row r="5" spans="1:16" ht="14.25" customHeight="1" x14ac:dyDescent="0.3">
      <c r="A5" s="35"/>
      <c r="B5" s="33" t="s">
        <v>261</v>
      </c>
      <c r="C5" s="33" t="s">
        <v>73</v>
      </c>
      <c r="D5" s="33" t="s">
        <v>72</v>
      </c>
      <c r="E5" s="33" t="s">
        <v>262</v>
      </c>
      <c r="F5" s="33" t="s">
        <v>71</v>
      </c>
      <c r="G5" s="33" t="s">
        <v>253</v>
      </c>
      <c r="H5" s="33"/>
      <c r="I5" s="33" t="s">
        <v>254</v>
      </c>
      <c r="J5" s="33" t="s">
        <v>255</v>
      </c>
      <c r="K5" s="33" t="s">
        <v>256</v>
      </c>
      <c r="L5" s="33" t="s">
        <v>257</v>
      </c>
      <c r="M5" s="33" t="s">
        <v>258</v>
      </c>
      <c r="N5" s="33" t="s">
        <v>258</v>
      </c>
      <c r="O5" s="33"/>
      <c r="P5" s="34"/>
    </row>
    <row r="6" spans="1:16" ht="14.25" customHeight="1" x14ac:dyDescent="0.3">
      <c r="A6" s="35"/>
      <c r="B6" s="33" t="s">
        <v>263</v>
      </c>
      <c r="C6" s="33" t="s">
        <v>80</v>
      </c>
      <c r="D6" s="33" t="s">
        <v>79</v>
      </c>
      <c r="E6" s="33" t="s">
        <v>264</v>
      </c>
      <c r="F6" s="33" t="s">
        <v>118</v>
      </c>
      <c r="G6" s="33" t="s">
        <v>265</v>
      </c>
      <c r="H6" s="33"/>
      <c r="I6" s="33" t="s">
        <v>254</v>
      </c>
      <c r="J6" s="33" t="s">
        <v>266</v>
      </c>
      <c r="K6" s="33" t="s">
        <v>267</v>
      </c>
      <c r="L6" s="33" t="s">
        <v>268</v>
      </c>
      <c r="M6" s="33" t="s">
        <v>258</v>
      </c>
      <c r="N6" s="33" t="s">
        <v>258</v>
      </c>
      <c r="O6" s="33"/>
      <c r="P6" s="34"/>
    </row>
    <row r="7" spans="1:16" ht="14.25" customHeight="1" x14ac:dyDescent="0.3">
      <c r="A7" s="35"/>
      <c r="B7" s="33" t="s">
        <v>269</v>
      </c>
      <c r="C7" s="33" t="s">
        <v>86</v>
      </c>
      <c r="D7" s="33" t="s">
        <v>85</v>
      </c>
      <c r="E7" s="33" t="s">
        <v>270</v>
      </c>
      <c r="F7" s="33" t="s">
        <v>271</v>
      </c>
      <c r="G7" s="33" t="s">
        <v>272</v>
      </c>
      <c r="H7" s="33"/>
      <c r="I7" s="33" t="s">
        <v>254</v>
      </c>
      <c r="J7" s="36" t="s">
        <v>273</v>
      </c>
      <c r="K7" s="36" t="s">
        <v>274</v>
      </c>
      <c r="L7" s="36" t="s">
        <v>257</v>
      </c>
      <c r="M7" s="36" t="s">
        <v>258</v>
      </c>
      <c r="N7" s="36" t="s">
        <v>258</v>
      </c>
      <c r="O7" s="36"/>
      <c r="P7" s="37"/>
    </row>
    <row r="8" spans="1:16" ht="14.25" customHeight="1" x14ac:dyDescent="0.3">
      <c r="A8" s="35"/>
      <c r="B8" s="33" t="s">
        <v>275</v>
      </c>
      <c r="C8" s="33" t="s">
        <v>94</v>
      </c>
      <c r="D8" s="33" t="s">
        <v>93</v>
      </c>
      <c r="E8" s="33" t="s">
        <v>276</v>
      </c>
      <c r="F8" s="33" t="s">
        <v>277</v>
      </c>
      <c r="G8" s="33" t="s">
        <v>278</v>
      </c>
      <c r="H8" s="33"/>
      <c r="I8" s="33" t="s">
        <v>247</v>
      </c>
      <c r="J8" s="36" t="s">
        <v>279</v>
      </c>
      <c r="K8" s="36" t="s">
        <v>274</v>
      </c>
      <c r="L8" s="36" t="s">
        <v>248</v>
      </c>
      <c r="M8" s="36" t="s">
        <v>258</v>
      </c>
      <c r="N8" s="36" t="s">
        <v>258</v>
      </c>
      <c r="O8" s="36"/>
      <c r="P8" s="37"/>
    </row>
    <row r="9" spans="1:16" ht="14.25" customHeight="1" x14ac:dyDescent="0.3">
      <c r="A9" s="30" t="s">
        <v>280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9"/>
    </row>
    <row r="10" spans="1:16" ht="14.25" customHeight="1" x14ac:dyDescent="0.3">
      <c r="A10" s="35"/>
      <c r="B10" s="33" t="s">
        <v>281</v>
      </c>
      <c r="C10" s="33" t="s">
        <v>100</v>
      </c>
      <c r="D10" s="33" t="s">
        <v>99</v>
      </c>
      <c r="E10" s="33"/>
      <c r="F10" s="33" t="s">
        <v>282</v>
      </c>
      <c r="G10" s="33"/>
      <c r="H10" s="33" t="s">
        <v>246</v>
      </c>
      <c r="I10" s="33" t="s">
        <v>247</v>
      </c>
      <c r="J10" s="33">
        <v>4</v>
      </c>
      <c r="K10" s="33">
        <v>16</v>
      </c>
      <c r="L10" s="33" t="s">
        <v>248</v>
      </c>
      <c r="M10" s="33" t="s">
        <v>249</v>
      </c>
      <c r="N10" s="33" t="s">
        <v>249</v>
      </c>
      <c r="O10" s="33"/>
      <c r="P10" s="34"/>
    </row>
    <row r="11" spans="1:16" ht="14.25" customHeight="1" x14ac:dyDescent="0.3">
      <c r="A11" s="35"/>
      <c r="B11" s="33" t="s">
        <v>283</v>
      </c>
      <c r="C11" s="33" t="s">
        <v>107</v>
      </c>
      <c r="D11" s="33" t="s">
        <v>106</v>
      </c>
      <c r="E11" s="33" t="s">
        <v>284</v>
      </c>
      <c r="F11" s="33" t="s">
        <v>49</v>
      </c>
      <c r="G11" s="33" t="s">
        <v>253</v>
      </c>
      <c r="H11" s="33" t="s">
        <v>285</v>
      </c>
      <c r="I11" s="33" t="s">
        <v>254</v>
      </c>
      <c r="J11" s="33" t="s">
        <v>255</v>
      </c>
      <c r="K11" s="33" t="s">
        <v>256</v>
      </c>
      <c r="L11" s="33" t="s">
        <v>257</v>
      </c>
      <c r="M11" s="33" t="s">
        <v>258</v>
      </c>
      <c r="N11" s="33" t="s">
        <v>249</v>
      </c>
      <c r="O11" s="33"/>
      <c r="P11" s="34" t="s">
        <v>286</v>
      </c>
    </row>
    <row r="12" spans="1:16" ht="14.25" customHeight="1" x14ac:dyDescent="0.3">
      <c r="A12" s="35"/>
      <c r="B12" s="33" t="s">
        <v>287</v>
      </c>
      <c r="C12" s="33" t="s">
        <v>111</v>
      </c>
      <c r="D12" s="33" t="s">
        <v>110</v>
      </c>
      <c r="E12" s="33" t="s">
        <v>288</v>
      </c>
      <c r="F12" s="33" t="s">
        <v>65</v>
      </c>
      <c r="G12" s="33" t="s">
        <v>253</v>
      </c>
      <c r="H12" s="33" t="s">
        <v>285</v>
      </c>
      <c r="I12" s="33" t="s">
        <v>254</v>
      </c>
      <c r="J12" s="33" t="s">
        <v>255</v>
      </c>
      <c r="K12" s="33" t="s">
        <v>256</v>
      </c>
      <c r="L12" s="33" t="s">
        <v>257</v>
      </c>
      <c r="M12" s="33" t="s">
        <v>258</v>
      </c>
      <c r="N12" s="33" t="s">
        <v>258</v>
      </c>
      <c r="O12" s="33"/>
      <c r="P12" s="34"/>
    </row>
    <row r="13" spans="1:16" ht="14.25" customHeight="1" x14ac:dyDescent="0.3">
      <c r="A13" s="35"/>
      <c r="B13" s="33" t="s">
        <v>289</v>
      </c>
      <c r="C13" s="33" t="s">
        <v>115</v>
      </c>
      <c r="D13" s="33" t="s">
        <v>114</v>
      </c>
      <c r="E13" s="33" t="s">
        <v>290</v>
      </c>
      <c r="F13" s="33" t="s">
        <v>71</v>
      </c>
      <c r="G13" s="33" t="s">
        <v>253</v>
      </c>
      <c r="H13" s="33" t="s">
        <v>285</v>
      </c>
      <c r="I13" s="33" t="s">
        <v>254</v>
      </c>
      <c r="J13" s="33" t="s">
        <v>255</v>
      </c>
      <c r="K13" s="33" t="s">
        <v>256</v>
      </c>
      <c r="L13" s="33" t="s">
        <v>257</v>
      </c>
      <c r="M13" s="33" t="s">
        <v>258</v>
      </c>
      <c r="N13" s="33" t="s">
        <v>258</v>
      </c>
      <c r="O13" s="33"/>
      <c r="P13" s="34"/>
    </row>
    <row r="14" spans="1:16" ht="14.25" customHeight="1" x14ac:dyDescent="0.3">
      <c r="A14" s="35"/>
      <c r="B14" s="33" t="s">
        <v>291</v>
      </c>
      <c r="C14" s="33" t="s">
        <v>120</v>
      </c>
      <c r="D14" s="33" t="s">
        <v>119</v>
      </c>
      <c r="E14" s="33" t="s">
        <v>292</v>
      </c>
      <c r="F14" s="33" t="s">
        <v>118</v>
      </c>
      <c r="G14" s="33" t="s">
        <v>265</v>
      </c>
      <c r="H14" s="33" t="s">
        <v>285</v>
      </c>
      <c r="I14" s="33" t="s">
        <v>254</v>
      </c>
      <c r="J14" s="33" t="s">
        <v>266</v>
      </c>
      <c r="K14" s="33" t="s">
        <v>267</v>
      </c>
      <c r="L14" s="33" t="s">
        <v>268</v>
      </c>
      <c r="M14" s="33" t="s">
        <v>258</v>
      </c>
      <c r="N14" s="33" t="s">
        <v>249</v>
      </c>
      <c r="O14" s="33"/>
      <c r="P14" s="34"/>
    </row>
    <row r="15" spans="1:16" ht="14.25" customHeight="1" x14ac:dyDescent="0.3">
      <c r="A15" s="35"/>
      <c r="B15" s="33" t="s">
        <v>293</v>
      </c>
      <c r="C15" s="33" t="s">
        <v>124</v>
      </c>
      <c r="D15" s="33" t="s">
        <v>123</v>
      </c>
      <c r="E15" s="33" t="s">
        <v>294</v>
      </c>
      <c r="F15" s="33" t="s">
        <v>271</v>
      </c>
      <c r="G15" s="33" t="s">
        <v>272</v>
      </c>
      <c r="H15" s="33" t="s">
        <v>285</v>
      </c>
      <c r="I15" s="33" t="s">
        <v>254</v>
      </c>
      <c r="J15" s="36" t="s">
        <v>295</v>
      </c>
      <c r="K15" s="36">
        <v>128</v>
      </c>
      <c r="L15" s="36" t="s">
        <v>257</v>
      </c>
      <c r="M15" s="36" t="s">
        <v>258</v>
      </c>
      <c r="N15" s="36" t="s">
        <v>249</v>
      </c>
      <c r="O15" s="36"/>
      <c r="P15" s="37"/>
    </row>
    <row r="16" spans="1:16" ht="14.25" customHeight="1" x14ac:dyDescent="0.3">
      <c r="A16" s="40"/>
      <c r="B16" s="33" t="s">
        <v>296</v>
      </c>
      <c r="C16" s="33" t="s">
        <v>129</v>
      </c>
      <c r="D16" s="33" t="s">
        <v>128</v>
      </c>
      <c r="E16" s="33" t="s">
        <v>297</v>
      </c>
      <c r="F16" s="33" t="s">
        <v>127</v>
      </c>
      <c r="G16" s="33" t="s">
        <v>298</v>
      </c>
      <c r="H16" s="33" t="s">
        <v>285</v>
      </c>
      <c r="I16" s="33" t="s">
        <v>254</v>
      </c>
      <c r="J16" s="33" t="s">
        <v>266</v>
      </c>
      <c r="K16" s="33" t="s">
        <v>267</v>
      </c>
      <c r="L16" s="33" t="s">
        <v>248</v>
      </c>
      <c r="M16" s="33" t="s">
        <v>258</v>
      </c>
      <c r="N16" s="33" t="s">
        <v>258</v>
      </c>
      <c r="O16" s="33"/>
      <c r="P16" s="34"/>
    </row>
    <row r="17" spans="1:16" ht="14.25" customHeight="1" x14ac:dyDescent="0.3">
      <c r="A17" s="35"/>
      <c r="B17" s="33" t="s">
        <v>299</v>
      </c>
      <c r="C17" s="33" t="s">
        <v>133</v>
      </c>
      <c r="D17" s="33" t="s">
        <v>132</v>
      </c>
      <c r="E17" s="33" t="s">
        <v>300</v>
      </c>
      <c r="F17" s="33" t="s">
        <v>277</v>
      </c>
      <c r="G17" s="33" t="s">
        <v>278</v>
      </c>
      <c r="H17" s="33" t="s">
        <v>246</v>
      </c>
      <c r="I17" s="33" t="s">
        <v>247</v>
      </c>
      <c r="J17" s="36" t="s">
        <v>279</v>
      </c>
      <c r="K17" s="36" t="s">
        <v>274</v>
      </c>
      <c r="L17" s="36" t="s">
        <v>248</v>
      </c>
      <c r="M17" s="36" t="s">
        <v>258</v>
      </c>
      <c r="N17" s="36" t="s">
        <v>249</v>
      </c>
      <c r="O17" s="36"/>
      <c r="P17" s="37"/>
    </row>
    <row r="18" spans="1:16" ht="14.25" customHeight="1" x14ac:dyDescent="0.3">
      <c r="A18" s="35"/>
      <c r="B18" s="33" t="s">
        <v>301</v>
      </c>
      <c r="C18" s="33" t="s">
        <v>302</v>
      </c>
      <c r="D18" s="33" t="s">
        <v>303</v>
      </c>
      <c r="E18" s="33" t="s">
        <v>304</v>
      </c>
      <c r="F18" s="33" t="s">
        <v>305</v>
      </c>
      <c r="G18" s="33" t="s">
        <v>306</v>
      </c>
      <c r="H18" s="33" t="s">
        <v>246</v>
      </c>
      <c r="I18" s="33" t="s">
        <v>247</v>
      </c>
      <c r="J18" s="33" t="s">
        <v>307</v>
      </c>
      <c r="K18" s="33" t="s">
        <v>308</v>
      </c>
      <c r="L18" s="33" t="s">
        <v>309</v>
      </c>
      <c r="M18" s="33" t="s">
        <v>258</v>
      </c>
      <c r="N18" s="33" t="s">
        <v>258</v>
      </c>
      <c r="O18" s="33"/>
      <c r="P18" s="34"/>
    </row>
    <row r="19" spans="1:16" ht="14.25" customHeight="1" x14ac:dyDescent="0.3">
      <c r="A19" s="30" t="s">
        <v>310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9"/>
    </row>
    <row r="20" spans="1:16" ht="14.25" customHeight="1" x14ac:dyDescent="0.3">
      <c r="A20" s="35"/>
      <c r="B20" s="33" t="s">
        <v>311</v>
      </c>
      <c r="C20" s="33" t="s">
        <v>138</v>
      </c>
      <c r="D20" s="33" t="s">
        <v>137</v>
      </c>
      <c r="E20" s="33"/>
      <c r="F20" s="33" t="s">
        <v>312</v>
      </c>
      <c r="G20" s="33"/>
      <c r="H20" s="33" t="s">
        <v>246</v>
      </c>
      <c r="I20" s="33" t="s">
        <v>247</v>
      </c>
      <c r="J20" s="33">
        <v>4</v>
      </c>
      <c r="K20" s="33">
        <v>16</v>
      </c>
      <c r="L20" s="33" t="s">
        <v>248</v>
      </c>
      <c r="M20" s="33" t="s">
        <v>313</v>
      </c>
      <c r="N20" s="33" t="s">
        <v>313</v>
      </c>
      <c r="O20" s="33"/>
      <c r="P20" s="34"/>
    </row>
    <row r="21" spans="1:16" ht="14.25" customHeight="1" x14ac:dyDescent="0.3">
      <c r="A21" s="35"/>
      <c r="B21" s="33" t="s">
        <v>314</v>
      </c>
      <c r="C21" s="33" t="s">
        <v>149</v>
      </c>
      <c r="D21" s="33" t="s">
        <v>148</v>
      </c>
      <c r="E21" s="33" t="s">
        <v>315</v>
      </c>
      <c r="F21" s="33" t="s">
        <v>49</v>
      </c>
      <c r="G21" s="33" t="s">
        <v>253</v>
      </c>
      <c r="H21" s="33" t="s">
        <v>285</v>
      </c>
      <c r="I21" s="33" t="s">
        <v>254</v>
      </c>
      <c r="J21" s="33" t="s">
        <v>255</v>
      </c>
      <c r="K21" s="33" t="s">
        <v>256</v>
      </c>
      <c r="L21" s="33" t="s">
        <v>257</v>
      </c>
      <c r="M21" s="33" t="s">
        <v>258</v>
      </c>
      <c r="N21" s="33" t="s">
        <v>313</v>
      </c>
      <c r="O21" s="33"/>
      <c r="P21" s="34" t="s">
        <v>316</v>
      </c>
    </row>
    <row r="22" spans="1:16" ht="14.25" customHeight="1" x14ac:dyDescent="0.3">
      <c r="A22" s="35"/>
      <c r="B22" s="33" t="s">
        <v>317</v>
      </c>
      <c r="C22" s="33" t="s">
        <v>154</v>
      </c>
      <c r="D22" s="33" t="s">
        <v>153</v>
      </c>
      <c r="E22" s="33" t="s">
        <v>318</v>
      </c>
      <c r="F22" s="33" t="s">
        <v>65</v>
      </c>
      <c r="G22" s="33" t="s">
        <v>253</v>
      </c>
      <c r="H22" s="33" t="s">
        <v>285</v>
      </c>
      <c r="I22" s="33" t="s">
        <v>254</v>
      </c>
      <c r="J22" s="33" t="s">
        <v>255</v>
      </c>
      <c r="K22" s="33" t="s">
        <v>256</v>
      </c>
      <c r="L22" s="33" t="s">
        <v>257</v>
      </c>
      <c r="M22" s="33" t="s">
        <v>258</v>
      </c>
      <c r="N22" s="33" t="s">
        <v>313</v>
      </c>
      <c r="O22" s="33"/>
      <c r="P22" s="34" t="s">
        <v>316</v>
      </c>
    </row>
    <row r="23" spans="1:16" ht="14.25" customHeight="1" x14ac:dyDescent="0.3">
      <c r="A23" s="41"/>
      <c r="B23" s="33" t="s">
        <v>319</v>
      </c>
      <c r="C23" s="33" t="s">
        <v>159</v>
      </c>
      <c r="D23" s="33" t="s">
        <v>158</v>
      </c>
      <c r="E23" s="33" t="s">
        <v>320</v>
      </c>
      <c r="F23" s="33" t="s">
        <v>71</v>
      </c>
      <c r="G23" s="33" t="s">
        <v>253</v>
      </c>
      <c r="H23" s="33" t="s">
        <v>285</v>
      </c>
      <c r="I23" s="33" t="s">
        <v>254</v>
      </c>
      <c r="J23" s="33" t="s">
        <v>255</v>
      </c>
      <c r="K23" s="33" t="s">
        <v>256</v>
      </c>
      <c r="L23" s="33" t="s">
        <v>257</v>
      </c>
      <c r="M23" s="33" t="s">
        <v>258</v>
      </c>
      <c r="N23" s="33" t="s">
        <v>250</v>
      </c>
      <c r="O23" s="33"/>
      <c r="P23" s="34" t="s">
        <v>316</v>
      </c>
    </row>
    <row r="24" spans="1:16" ht="14.25" customHeight="1" x14ac:dyDescent="0.3">
      <c r="A24" s="41"/>
      <c r="B24" s="33" t="s">
        <v>321</v>
      </c>
      <c r="C24" s="33" t="s">
        <v>164</v>
      </c>
      <c r="D24" s="33" t="s">
        <v>163</v>
      </c>
      <c r="E24" s="33" t="s">
        <v>322</v>
      </c>
      <c r="F24" s="33" t="s">
        <v>323</v>
      </c>
      <c r="G24" s="33" t="s">
        <v>253</v>
      </c>
      <c r="H24" s="33" t="s">
        <v>285</v>
      </c>
      <c r="I24" s="33" t="s">
        <v>254</v>
      </c>
      <c r="J24" s="33" t="s">
        <v>255</v>
      </c>
      <c r="K24" s="33" t="s">
        <v>256</v>
      </c>
      <c r="L24" s="33" t="s">
        <v>257</v>
      </c>
      <c r="M24" s="33" t="s">
        <v>258</v>
      </c>
      <c r="N24" s="33" t="s">
        <v>250</v>
      </c>
      <c r="O24" s="33"/>
      <c r="P24" s="34" t="s">
        <v>316</v>
      </c>
    </row>
    <row r="25" spans="1:16" ht="14.25" customHeight="1" x14ac:dyDescent="0.3">
      <c r="A25" s="41"/>
      <c r="B25" s="33" t="s">
        <v>324</v>
      </c>
      <c r="C25" s="33" t="s">
        <v>169</v>
      </c>
      <c r="D25" s="33" t="s">
        <v>168</v>
      </c>
      <c r="E25" s="33" t="s">
        <v>325</v>
      </c>
      <c r="F25" s="33" t="s">
        <v>326</v>
      </c>
      <c r="G25" s="33" t="s">
        <v>253</v>
      </c>
      <c r="H25" s="33" t="s">
        <v>285</v>
      </c>
      <c r="I25" s="33" t="s">
        <v>254</v>
      </c>
      <c r="J25" s="33" t="s">
        <v>255</v>
      </c>
      <c r="K25" s="33" t="s">
        <v>256</v>
      </c>
      <c r="L25" s="33" t="s">
        <v>257</v>
      </c>
      <c r="M25" s="33" t="s">
        <v>258</v>
      </c>
      <c r="N25" s="33" t="s">
        <v>250</v>
      </c>
      <c r="O25" s="33"/>
      <c r="P25" s="34" t="s">
        <v>316</v>
      </c>
    </row>
    <row r="26" spans="1:16" ht="14.25" customHeight="1" x14ac:dyDescent="0.3">
      <c r="A26" s="41"/>
      <c r="B26" s="33" t="s">
        <v>327</v>
      </c>
      <c r="C26" s="33" t="s">
        <v>174</v>
      </c>
      <c r="D26" s="33" t="s">
        <v>173</v>
      </c>
      <c r="E26" s="33" t="s">
        <v>328</v>
      </c>
      <c r="F26" s="33" t="s">
        <v>329</v>
      </c>
      <c r="G26" s="33" t="s">
        <v>253</v>
      </c>
      <c r="H26" s="33" t="s">
        <v>285</v>
      </c>
      <c r="I26" s="33" t="s">
        <v>254</v>
      </c>
      <c r="J26" s="33" t="s">
        <v>255</v>
      </c>
      <c r="K26" s="33" t="s">
        <v>256</v>
      </c>
      <c r="L26" s="33" t="s">
        <v>257</v>
      </c>
      <c r="M26" s="33" t="s">
        <v>258</v>
      </c>
      <c r="N26" s="33" t="s">
        <v>250</v>
      </c>
      <c r="O26" s="33"/>
      <c r="P26" s="34" t="s">
        <v>316</v>
      </c>
    </row>
    <row r="27" spans="1:16" ht="14.25" customHeight="1" x14ac:dyDescent="0.3">
      <c r="A27" s="41"/>
      <c r="B27" s="33" t="s">
        <v>330</v>
      </c>
      <c r="C27" s="33" t="s">
        <v>178</v>
      </c>
      <c r="D27" s="33" t="s">
        <v>177</v>
      </c>
      <c r="E27" s="33" t="s">
        <v>331</v>
      </c>
      <c r="F27" s="33" t="s">
        <v>118</v>
      </c>
      <c r="G27" s="33" t="s">
        <v>265</v>
      </c>
      <c r="H27" s="33" t="s">
        <v>285</v>
      </c>
      <c r="I27" s="33" t="s">
        <v>254</v>
      </c>
      <c r="J27" s="33" t="s">
        <v>266</v>
      </c>
      <c r="K27" s="33" t="s">
        <v>267</v>
      </c>
      <c r="L27" s="33" t="s">
        <v>268</v>
      </c>
      <c r="M27" s="33" t="s">
        <v>258</v>
      </c>
      <c r="N27" s="33" t="s">
        <v>313</v>
      </c>
      <c r="O27" s="33"/>
      <c r="P27" s="34"/>
    </row>
    <row r="28" spans="1:16" ht="14.25" customHeight="1" x14ac:dyDescent="0.3">
      <c r="A28" s="41"/>
      <c r="B28" s="33" t="s">
        <v>332</v>
      </c>
      <c r="C28" s="33" t="s">
        <v>182</v>
      </c>
      <c r="D28" s="33" t="s">
        <v>181</v>
      </c>
      <c r="E28" s="33" t="s">
        <v>183</v>
      </c>
      <c r="F28" s="33" t="s">
        <v>271</v>
      </c>
      <c r="G28" s="33" t="s">
        <v>272</v>
      </c>
      <c r="H28" s="33" t="s">
        <v>285</v>
      </c>
      <c r="I28" s="33" t="s">
        <v>254</v>
      </c>
      <c r="J28" s="42" t="s">
        <v>333</v>
      </c>
      <c r="K28" s="42" t="s">
        <v>334</v>
      </c>
      <c r="L28" s="42" t="s">
        <v>257</v>
      </c>
      <c r="M28" s="42" t="s">
        <v>258</v>
      </c>
      <c r="N28" s="42" t="s">
        <v>313</v>
      </c>
      <c r="O28" s="42"/>
      <c r="P28" s="43"/>
    </row>
    <row r="29" spans="1:16" ht="14.25" customHeight="1" x14ac:dyDescent="0.3">
      <c r="A29" s="41"/>
      <c r="B29" s="33" t="s">
        <v>335</v>
      </c>
      <c r="C29" s="33" t="s">
        <v>187</v>
      </c>
      <c r="D29" s="33" t="s">
        <v>186</v>
      </c>
      <c r="E29" s="33" t="s">
        <v>188</v>
      </c>
      <c r="F29" s="33" t="s">
        <v>336</v>
      </c>
      <c r="G29" s="33" t="s">
        <v>337</v>
      </c>
      <c r="H29" s="33" t="s">
        <v>285</v>
      </c>
      <c r="I29" s="33" t="s">
        <v>254</v>
      </c>
      <c r="J29" s="33" t="s">
        <v>273</v>
      </c>
      <c r="K29" s="33" t="s">
        <v>274</v>
      </c>
      <c r="L29" s="33" t="s">
        <v>248</v>
      </c>
      <c r="M29" s="33" t="s">
        <v>258</v>
      </c>
      <c r="N29" s="33" t="s">
        <v>250</v>
      </c>
      <c r="O29" s="33"/>
      <c r="P29" s="34"/>
    </row>
    <row r="30" spans="1:16" ht="14.25" customHeight="1" x14ac:dyDescent="0.3">
      <c r="A30" s="44"/>
      <c r="B30" s="33" t="s">
        <v>338</v>
      </c>
      <c r="C30" s="33" t="s">
        <v>191</v>
      </c>
      <c r="D30" s="33" t="s">
        <v>190</v>
      </c>
      <c r="E30" s="33" t="s">
        <v>192</v>
      </c>
      <c r="F30" s="33" t="s">
        <v>127</v>
      </c>
      <c r="G30" s="33" t="s">
        <v>298</v>
      </c>
      <c r="H30" s="33" t="s">
        <v>285</v>
      </c>
      <c r="I30" s="33" t="s">
        <v>254</v>
      </c>
      <c r="J30" s="33" t="s">
        <v>255</v>
      </c>
      <c r="K30" s="33" t="s">
        <v>256</v>
      </c>
      <c r="L30" s="33" t="s">
        <v>257</v>
      </c>
      <c r="M30" s="33" t="s">
        <v>258</v>
      </c>
      <c r="N30" s="33" t="s">
        <v>250</v>
      </c>
      <c r="O30" s="33"/>
      <c r="P30" s="34"/>
    </row>
    <row r="31" spans="1:16" ht="14.25" customHeight="1" x14ac:dyDescent="0.3">
      <c r="A31" s="41"/>
      <c r="B31" s="33" t="s">
        <v>339</v>
      </c>
      <c r="C31" s="33" t="s">
        <v>195</v>
      </c>
      <c r="D31" s="33" t="s">
        <v>194</v>
      </c>
      <c r="E31" s="33" t="s">
        <v>340</v>
      </c>
      <c r="F31" s="33" t="s">
        <v>277</v>
      </c>
      <c r="G31" s="33" t="s">
        <v>278</v>
      </c>
      <c r="H31" s="33" t="s">
        <v>246</v>
      </c>
      <c r="I31" s="33" t="s">
        <v>247</v>
      </c>
      <c r="J31" s="42" t="s">
        <v>279</v>
      </c>
      <c r="K31" s="42" t="s">
        <v>274</v>
      </c>
      <c r="L31" s="42" t="s">
        <v>248</v>
      </c>
      <c r="M31" s="42" t="s">
        <v>258</v>
      </c>
      <c r="N31" s="42" t="s">
        <v>313</v>
      </c>
      <c r="O31" s="42"/>
      <c r="P31" s="43"/>
    </row>
    <row r="32" spans="1:16" ht="14.25" customHeight="1" x14ac:dyDescent="0.3">
      <c r="A32" s="41"/>
      <c r="B32" s="33" t="s">
        <v>341</v>
      </c>
      <c r="C32" s="33" t="s">
        <v>342</v>
      </c>
      <c r="D32" s="33" t="s">
        <v>343</v>
      </c>
      <c r="E32" s="33" t="s">
        <v>344</v>
      </c>
      <c r="F32" s="33" t="s">
        <v>345</v>
      </c>
      <c r="G32" s="33" t="s">
        <v>346</v>
      </c>
      <c r="H32" s="33" t="s">
        <v>246</v>
      </c>
      <c r="I32" s="33" t="s">
        <v>247</v>
      </c>
      <c r="J32" s="42" t="s">
        <v>307</v>
      </c>
      <c r="K32" s="42" t="s">
        <v>308</v>
      </c>
      <c r="L32" s="42" t="s">
        <v>309</v>
      </c>
      <c r="M32" s="42" t="s">
        <v>258</v>
      </c>
      <c r="N32" s="42" t="s">
        <v>313</v>
      </c>
      <c r="O32" s="42"/>
      <c r="P32" s="43"/>
    </row>
    <row r="33" spans="1:16" ht="14.25" customHeight="1" x14ac:dyDescent="0.3">
      <c r="A33" s="45" t="s">
        <v>347</v>
      </c>
      <c r="B33" s="46" t="s">
        <v>348</v>
      </c>
      <c r="C33" s="46" t="s">
        <v>349</v>
      </c>
      <c r="D33" s="46" t="s">
        <v>350</v>
      </c>
      <c r="E33" s="46" t="s">
        <v>351</v>
      </c>
      <c r="F33" s="46" t="s">
        <v>352</v>
      </c>
      <c r="G33" s="46" t="s">
        <v>353</v>
      </c>
      <c r="H33" s="46" t="s">
        <v>246</v>
      </c>
      <c r="I33" s="46" t="s">
        <v>247</v>
      </c>
      <c r="J33" s="47" t="s">
        <v>307</v>
      </c>
      <c r="K33" s="47" t="s">
        <v>308</v>
      </c>
      <c r="L33" s="48" t="s">
        <v>354</v>
      </c>
      <c r="M33" s="47" t="s">
        <v>258</v>
      </c>
      <c r="N33" s="47" t="s">
        <v>250</v>
      </c>
      <c r="O33" s="49"/>
      <c r="P33" s="50"/>
    </row>
    <row r="34" spans="1:16" ht="14.25" customHeight="1" x14ac:dyDescent="0.3"/>
    <row r="35" spans="1:16" ht="14.25" customHeight="1" x14ac:dyDescent="0.3">
      <c r="A35" s="31" t="s">
        <v>228</v>
      </c>
      <c r="B35" s="51" t="s">
        <v>229</v>
      </c>
      <c r="C35" s="51" t="s">
        <v>230</v>
      </c>
      <c r="D35" s="51" t="s">
        <v>41</v>
      </c>
      <c r="E35" s="51" t="s">
        <v>231</v>
      </c>
      <c r="F35" s="51" t="s">
        <v>232</v>
      </c>
      <c r="G35" s="51" t="s">
        <v>233</v>
      </c>
      <c r="H35" s="51" t="s">
        <v>33</v>
      </c>
      <c r="I35" s="51" t="s">
        <v>234</v>
      </c>
      <c r="J35" s="51" t="s">
        <v>235</v>
      </c>
      <c r="K35" s="51" t="s">
        <v>236</v>
      </c>
      <c r="L35" s="51" t="s">
        <v>355</v>
      </c>
      <c r="M35" s="51" t="s">
        <v>238</v>
      </c>
      <c r="N35" s="51" t="s">
        <v>240</v>
      </c>
      <c r="O35" s="52" t="s">
        <v>241</v>
      </c>
    </row>
    <row r="36" spans="1:16" ht="14.25" customHeight="1" x14ac:dyDescent="0.3">
      <c r="A36" s="31" t="s">
        <v>356</v>
      </c>
      <c r="B36" s="33" t="s">
        <v>357</v>
      </c>
      <c r="C36" s="33" t="s">
        <v>358</v>
      </c>
      <c r="D36" s="33" t="s">
        <v>359</v>
      </c>
      <c r="E36" s="33"/>
      <c r="F36" s="33" t="s">
        <v>360</v>
      </c>
      <c r="G36" s="33" t="s">
        <v>272</v>
      </c>
      <c r="H36" s="33" t="s">
        <v>361</v>
      </c>
      <c r="I36" s="33" t="s">
        <v>247</v>
      </c>
      <c r="J36" s="33">
        <v>4</v>
      </c>
      <c r="K36" s="33">
        <v>16</v>
      </c>
      <c r="L36" s="33" t="s">
        <v>362</v>
      </c>
      <c r="M36" s="33" t="s">
        <v>313</v>
      </c>
      <c r="N36" s="33"/>
      <c r="O36" s="34" t="s">
        <v>363</v>
      </c>
    </row>
    <row r="37" spans="1:16" ht="14.25" customHeight="1" x14ac:dyDescent="0.3">
      <c r="A37" s="53" t="s">
        <v>50</v>
      </c>
      <c r="B37" s="33" t="s">
        <v>364</v>
      </c>
      <c r="C37" s="33" t="s">
        <v>202</v>
      </c>
      <c r="D37" s="33" t="s">
        <v>201</v>
      </c>
      <c r="E37" s="33" t="s">
        <v>203</v>
      </c>
      <c r="F37" s="33"/>
      <c r="G37" s="33" t="s">
        <v>272</v>
      </c>
      <c r="H37" s="33" t="s">
        <v>365</v>
      </c>
      <c r="I37" s="33">
        <v>9</v>
      </c>
      <c r="J37" s="33">
        <v>8</v>
      </c>
      <c r="K37" s="33">
        <v>48</v>
      </c>
      <c r="L37" s="33" t="s">
        <v>366</v>
      </c>
      <c r="M37" s="33" t="s">
        <v>250</v>
      </c>
      <c r="N37" s="33"/>
      <c r="O37" s="54" t="s">
        <v>367</v>
      </c>
    </row>
    <row r="38" spans="1:16" ht="14.25" customHeight="1" x14ac:dyDescent="0.3">
      <c r="A38" s="53" t="s">
        <v>280</v>
      </c>
      <c r="B38" s="33" t="s">
        <v>368</v>
      </c>
      <c r="C38" s="33" t="s">
        <v>207</v>
      </c>
      <c r="D38" s="33" t="s">
        <v>206</v>
      </c>
      <c r="E38" s="33" t="s">
        <v>208</v>
      </c>
      <c r="F38" s="33"/>
      <c r="G38" s="33" t="s">
        <v>272</v>
      </c>
      <c r="H38" s="33" t="s">
        <v>365</v>
      </c>
      <c r="I38" s="33">
        <v>9</v>
      </c>
      <c r="J38" s="33">
        <v>8</v>
      </c>
      <c r="K38" s="33">
        <v>48</v>
      </c>
      <c r="L38" s="33" t="s">
        <v>366</v>
      </c>
      <c r="M38" s="33" t="s">
        <v>250</v>
      </c>
      <c r="N38" s="33"/>
      <c r="O38" s="34"/>
    </row>
    <row r="39" spans="1:16" ht="14.25" customHeight="1" x14ac:dyDescent="0.3">
      <c r="A39" s="53" t="s">
        <v>310</v>
      </c>
      <c r="B39" s="33" t="s">
        <v>369</v>
      </c>
      <c r="C39" s="33" t="s">
        <v>212</v>
      </c>
      <c r="D39" s="33" t="s">
        <v>211</v>
      </c>
      <c r="E39" s="33" t="s">
        <v>213</v>
      </c>
      <c r="F39" s="33"/>
      <c r="G39" s="33" t="s">
        <v>272</v>
      </c>
      <c r="H39" s="33" t="s">
        <v>365</v>
      </c>
      <c r="I39" s="33">
        <v>9</v>
      </c>
      <c r="J39" s="33">
        <v>16</v>
      </c>
      <c r="K39" s="33">
        <v>96</v>
      </c>
      <c r="L39" s="33" t="s">
        <v>366</v>
      </c>
      <c r="M39" s="33" t="s">
        <v>370</v>
      </c>
      <c r="N39" s="33"/>
      <c r="O39" s="34" t="s">
        <v>371</v>
      </c>
    </row>
    <row r="40" spans="1:16" ht="14.25" customHeight="1" x14ac:dyDescent="0.3">
      <c r="A40" s="55"/>
      <c r="B40" s="56"/>
      <c r="C40" s="56" t="s">
        <v>217</v>
      </c>
      <c r="D40" s="56" t="s">
        <v>216</v>
      </c>
      <c r="E40" s="56" t="s">
        <v>372</v>
      </c>
      <c r="F40" s="56"/>
      <c r="G40" s="56" t="s">
        <v>272</v>
      </c>
      <c r="H40" s="56" t="s">
        <v>365</v>
      </c>
      <c r="I40" s="56">
        <v>9</v>
      </c>
      <c r="J40" s="56">
        <v>16</v>
      </c>
      <c r="K40" s="56">
        <v>96</v>
      </c>
      <c r="L40" s="56" t="s">
        <v>366</v>
      </c>
      <c r="M40" s="56" t="s">
        <v>370</v>
      </c>
      <c r="N40" s="56"/>
      <c r="O40" s="57"/>
    </row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O37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DC</vt:lpstr>
      <vt:lpstr>Stacked</vt:lpstr>
      <vt:lpstr>Plain</vt:lpstr>
      <vt:lpstr>Old 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Česal</dc:creator>
  <cp:lastModifiedBy>David Kubíček</cp:lastModifiedBy>
  <dcterms:created xsi:type="dcterms:W3CDTF">2025-12-05T09:18:05Z</dcterms:created>
  <dcterms:modified xsi:type="dcterms:W3CDTF">2026-06-17T20:55:00Z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0x0101002AE87EBDFF4E6347A7E868A43C5AF2E9</vt:lpwstr>
  </property>
  <property fmtid="{D5CDD505-2E9C-101B-9397-08002B2CF9AE}" pid="3" name="MediaServiceImageTags">
    <vt:lpwstr/>
  </property>
</Properties>
</file>