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Sdílené disky\SGS Customers\EPH\EPC\SA_Hosting\03-architektura\"/>
    </mc:Choice>
  </mc:AlternateContent>
  <xr:revisionPtr revIDLastSave="0" documentId="13_ncr:1_{A39A7EBA-4B76-4C0B-B445-4FBFA76DD75F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List1" sheetId="1" r:id="rId1"/>
  </sheets>
  <definedNames>
    <definedName name="_xlnm._FilterDatabase" localSheetId="0" hidden="1">List1!$A$3:$X$31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zTlqY8e+N3UAVgN3+a+chvOAtTQAcMDBQLubRAGDKY="/>
    </ext>
  </extLst>
</workbook>
</file>

<file path=xl/calcChain.xml><?xml version="1.0" encoding="utf-8"?>
<calcChain xmlns="http://schemas.openxmlformats.org/spreadsheetml/2006/main">
  <c r="M48" i="1" l="1"/>
  <c r="M47" i="1"/>
  <c r="M46" i="1"/>
  <c r="M45" i="1"/>
  <c r="M44" i="1"/>
  <c r="M43" i="1"/>
  <c r="M42" i="1"/>
  <c r="B62" i="1"/>
  <c r="B61" i="1"/>
  <c r="B60" i="1"/>
  <c r="B56" i="1"/>
  <c r="B55" i="1"/>
  <c r="X48" i="1"/>
  <c r="V48" i="1"/>
  <c r="U48" i="1"/>
  <c r="T48" i="1"/>
  <c r="R48" i="1"/>
  <c r="Q48" i="1"/>
  <c r="X47" i="1"/>
  <c r="V47" i="1"/>
  <c r="U47" i="1"/>
  <c r="T47" i="1"/>
  <c r="R47" i="1"/>
  <c r="Q47" i="1"/>
  <c r="X46" i="1"/>
  <c r="V46" i="1"/>
  <c r="U46" i="1"/>
  <c r="T46" i="1"/>
  <c r="R46" i="1"/>
  <c r="Q46" i="1"/>
  <c r="X45" i="1"/>
  <c r="V45" i="1"/>
  <c r="U45" i="1"/>
  <c r="T45" i="1"/>
  <c r="R45" i="1"/>
  <c r="Q45" i="1"/>
  <c r="X44" i="1"/>
  <c r="V44" i="1"/>
  <c r="U44" i="1"/>
  <c r="T44" i="1"/>
  <c r="R44" i="1"/>
  <c r="Q44" i="1"/>
  <c r="X43" i="1"/>
  <c r="V43" i="1"/>
  <c r="U43" i="1"/>
  <c r="T43" i="1"/>
  <c r="R43" i="1"/>
  <c r="Q43" i="1"/>
  <c r="X42" i="1"/>
  <c r="V42" i="1"/>
  <c r="U42" i="1"/>
  <c r="T42" i="1"/>
  <c r="R42" i="1"/>
  <c r="Q42" i="1"/>
  <c r="X37" i="1"/>
  <c r="V37" i="1"/>
  <c r="U37" i="1"/>
  <c r="T37" i="1"/>
  <c r="R37" i="1"/>
  <c r="Q37" i="1"/>
  <c r="X36" i="1"/>
  <c r="W36" i="1"/>
  <c r="V36" i="1"/>
  <c r="U36" i="1"/>
  <c r="T36" i="1"/>
  <c r="S36" i="1"/>
  <c r="R36" i="1"/>
  <c r="Q36" i="1"/>
  <c r="O36" i="1"/>
  <c r="M36" i="1"/>
  <c r="L36" i="1"/>
  <c r="E36" i="1"/>
  <c r="X35" i="1"/>
  <c r="V35" i="1"/>
  <c r="U35" i="1"/>
  <c r="T35" i="1"/>
  <c r="R35" i="1"/>
  <c r="Q35" i="1"/>
  <c r="X34" i="1"/>
  <c r="W34" i="1"/>
  <c r="V34" i="1"/>
  <c r="U34" i="1"/>
  <c r="T34" i="1"/>
  <c r="S34" i="1"/>
  <c r="R34" i="1"/>
  <c r="Q34" i="1"/>
  <c r="O34" i="1"/>
  <c r="M34" i="1"/>
  <c r="L34" i="1"/>
  <c r="E34" i="1"/>
  <c r="X33" i="1"/>
  <c r="V33" i="1"/>
  <c r="U33" i="1"/>
  <c r="T33" i="1"/>
  <c r="R33" i="1"/>
  <c r="Q33" i="1"/>
  <c r="X32" i="1"/>
  <c r="W32" i="1"/>
  <c r="V32" i="1"/>
  <c r="U32" i="1"/>
  <c r="T32" i="1"/>
  <c r="S32" i="1"/>
  <c r="R32" i="1"/>
  <c r="Q32" i="1"/>
  <c r="O32" i="1"/>
  <c r="M32" i="1"/>
  <c r="L32" i="1"/>
  <c r="E32" i="1"/>
  <c r="X31" i="1"/>
  <c r="W31" i="1"/>
  <c r="V31" i="1"/>
  <c r="U31" i="1"/>
  <c r="T31" i="1"/>
  <c r="S31" i="1"/>
  <c r="R31" i="1"/>
  <c r="Q31" i="1"/>
  <c r="O31" i="1"/>
  <c r="M31" i="1"/>
  <c r="L31" i="1"/>
  <c r="E31" i="1"/>
  <c r="X30" i="1"/>
  <c r="W30" i="1"/>
  <c r="V30" i="1"/>
  <c r="U30" i="1"/>
  <c r="T30" i="1"/>
  <c r="S30" i="1"/>
  <c r="R30" i="1"/>
  <c r="Q30" i="1"/>
  <c r="O30" i="1"/>
  <c r="M30" i="1"/>
  <c r="L30" i="1"/>
  <c r="E30" i="1"/>
  <c r="X29" i="1"/>
  <c r="W29" i="1"/>
  <c r="V29" i="1"/>
  <c r="U29" i="1"/>
  <c r="T29" i="1"/>
  <c r="S29" i="1"/>
  <c r="R29" i="1"/>
  <c r="Q29" i="1"/>
  <c r="O29" i="1"/>
  <c r="M29" i="1"/>
  <c r="L29" i="1"/>
  <c r="E29" i="1"/>
  <c r="X28" i="1"/>
  <c r="W28" i="1"/>
  <c r="V28" i="1"/>
  <c r="U28" i="1"/>
  <c r="T28" i="1"/>
  <c r="S28" i="1"/>
  <c r="R28" i="1"/>
  <c r="Q28" i="1"/>
  <c r="O28" i="1"/>
  <c r="M28" i="1"/>
  <c r="L28" i="1"/>
  <c r="E28" i="1"/>
  <c r="X27" i="1"/>
  <c r="W27" i="1"/>
  <c r="V27" i="1"/>
  <c r="U27" i="1"/>
  <c r="T27" i="1"/>
  <c r="S27" i="1"/>
  <c r="R27" i="1"/>
  <c r="Q27" i="1"/>
  <c r="O27" i="1"/>
  <c r="M27" i="1"/>
  <c r="L27" i="1"/>
  <c r="E27" i="1"/>
  <c r="X26" i="1"/>
  <c r="W26" i="1"/>
  <c r="V26" i="1"/>
  <c r="U26" i="1"/>
  <c r="T26" i="1"/>
  <c r="S26" i="1"/>
  <c r="R26" i="1"/>
  <c r="Q26" i="1"/>
  <c r="O26" i="1"/>
  <c r="M26" i="1"/>
  <c r="L26" i="1"/>
  <c r="E26" i="1"/>
  <c r="X25" i="1"/>
  <c r="W25" i="1"/>
  <c r="V25" i="1"/>
  <c r="U25" i="1"/>
  <c r="T25" i="1"/>
  <c r="S25" i="1"/>
  <c r="R25" i="1"/>
  <c r="Q25" i="1"/>
  <c r="O25" i="1"/>
  <c r="M25" i="1"/>
  <c r="L25" i="1"/>
  <c r="E25" i="1"/>
  <c r="X24" i="1"/>
  <c r="W24" i="1"/>
  <c r="V24" i="1"/>
  <c r="U24" i="1"/>
  <c r="T24" i="1"/>
  <c r="S24" i="1"/>
  <c r="R24" i="1"/>
  <c r="Q24" i="1"/>
  <c r="O24" i="1"/>
  <c r="M24" i="1"/>
  <c r="L24" i="1"/>
  <c r="E24" i="1"/>
  <c r="X23" i="1"/>
  <c r="W23" i="1"/>
  <c r="V23" i="1"/>
  <c r="U23" i="1"/>
  <c r="T23" i="1"/>
  <c r="S23" i="1"/>
  <c r="R23" i="1"/>
  <c r="Q23" i="1"/>
  <c r="O23" i="1"/>
  <c r="M23" i="1"/>
  <c r="L23" i="1"/>
  <c r="E23" i="1"/>
  <c r="X22" i="1"/>
  <c r="W22" i="1"/>
  <c r="V22" i="1"/>
  <c r="U22" i="1"/>
  <c r="T22" i="1"/>
  <c r="S22" i="1"/>
  <c r="R22" i="1"/>
  <c r="Q22" i="1"/>
  <c r="O22" i="1"/>
  <c r="M22" i="1"/>
  <c r="L22" i="1"/>
  <c r="E22" i="1"/>
  <c r="X21" i="1"/>
  <c r="W21" i="1"/>
  <c r="V21" i="1"/>
  <c r="U21" i="1"/>
  <c r="T21" i="1"/>
  <c r="S21" i="1"/>
  <c r="R21" i="1"/>
  <c r="Q21" i="1"/>
  <c r="O21" i="1"/>
  <c r="M21" i="1"/>
  <c r="L21" i="1"/>
  <c r="E21" i="1"/>
  <c r="X20" i="1"/>
  <c r="W20" i="1"/>
  <c r="V20" i="1"/>
  <c r="U20" i="1"/>
  <c r="T20" i="1"/>
  <c r="S20" i="1"/>
  <c r="R20" i="1"/>
  <c r="Q20" i="1"/>
  <c r="O20" i="1"/>
  <c r="M20" i="1"/>
  <c r="L20" i="1"/>
  <c r="E20" i="1"/>
  <c r="X19" i="1"/>
  <c r="W19" i="1"/>
  <c r="V19" i="1"/>
  <c r="U19" i="1"/>
  <c r="T19" i="1"/>
  <c r="S19" i="1"/>
  <c r="R19" i="1"/>
  <c r="Q19" i="1"/>
  <c r="O19" i="1"/>
  <c r="M19" i="1"/>
  <c r="L19" i="1"/>
  <c r="E19" i="1"/>
  <c r="X18" i="1"/>
  <c r="W18" i="1"/>
  <c r="V18" i="1"/>
  <c r="U18" i="1"/>
  <c r="T18" i="1"/>
  <c r="S18" i="1"/>
  <c r="R18" i="1"/>
  <c r="Q18" i="1"/>
  <c r="O18" i="1"/>
  <c r="M18" i="1"/>
  <c r="L18" i="1"/>
  <c r="E18" i="1"/>
  <c r="X17" i="1"/>
  <c r="W17" i="1"/>
  <c r="V17" i="1"/>
  <c r="U17" i="1"/>
  <c r="T17" i="1"/>
  <c r="S17" i="1"/>
  <c r="R17" i="1"/>
  <c r="Q17" i="1"/>
  <c r="O17" i="1"/>
  <c r="M17" i="1"/>
  <c r="L17" i="1"/>
  <c r="E17" i="1"/>
  <c r="X16" i="1"/>
  <c r="W16" i="1"/>
  <c r="V16" i="1"/>
  <c r="U16" i="1"/>
  <c r="T16" i="1"/>
  <c r="S16" i="1"/>
  <c r="R16" i="1"/>
  <c r="Q16" i="1"/>
  <c r="O16" i="1"/>
  <c r="M16" i="1"/>
  <c r="L16" i="1"/>
  <c r="E16" i="1"/>
  <c r="X15" i="1"/>
  <c r="W15" i="1"/>
  <c r="V15" i="1"/>
  <c r="U15" i="1"/>
  <c r="T15" i="1"/>
  <c r="S15" i="1"/>
  <c r="R15" i="1"/>
  <c r="Q15" i="1"/>
  <c r="O15" i="1"/>
  <c r="M15" i="1"/>
  <c r="L15" i="1"/>
  <c r="E15" i="1"/>
  <c r="X14" i="1"/>
  <c r="W14" i="1"/>
  <c r="V14" i="1"/>
  <c r="U14" i="1"/>
  <c r="T14" i="1"/>
  <c r="S14" i="1"/>
  <c r="R14" i="1"/>
  <c r="Q14" i="1"/>
  <c r="O14" i="1"/>
  <c r="M14" i="1"/>
  <c r="L14" i="1"/>
  <c r="E14" i="1"/>
  <c r="X13" i="1"/>
  <c r="W13" i="1"/>
  <c r="V13" i="1"/>
  <c r="U13" i="1"/>
  <c r="T13" i="1"/>
  <c r="S13" i="1"/>
  <c r="R13" i="1"/>
  <c r="Q13" i="1"/>
  <c r="O13" i="1"/>
  <c r="M13" i="1"/>
  <c r="L13" i="1"/>
  <c r="E13" i="1"/>
  <c r="X12" i="1"/>
  <c r="W12" i="1"/>
  <c r="V12" i="1"/>
  <c r="U12" i="1"/>
  <c r="T12" i="1"/>
  <c r="S12" i="1"/>
  <c r="R12" i="1"/>
  <c r="Q12" i="1"/>
  <c r="O12" i="1"/>
  <c r="M12" i="1"/>
  <c r="L12" i="1"/>
  <c r="E12" i="1"/>
  <c r="X11" i="1"/>
  <c r="W11" i="1"/>
  <c r="V11" i="1"/>
  <c r="U11" i="1"/>
  <c r="T11" i="1"/>
  <c r="S11" i="1"/>
  <c r="R11" i="1"/>
  <c r="Q11" i="1"/>
  <c r="O11" i="1"/>
  <c r="M11" i="1"/>
  <c r="L11" i="1"/>
  <c r="E11" i="1"/>
  <c r="X10" i="1"/>
  <c r="W10" i="1"/>
  <c r="V10" i="1"/>
  <c r="U10" i="1"/>
  <c r="T10" i="1"/>
  <c r="S10" i="1"/>
  <c r="R10" i="1"/>
  <c r="Q10" i="1"/>
  <c r="O10" i="1"/>
  <c r="M10" i="1"/>
  <c r="L10" i="1"/>
  <c r="E10" i="1"/>
  <c r="X9" i="1"/>
  <c r="W9" i="1"/>
  <c r="V9" i="1"/>
  <c r="U9" i="1"/>
  <c r="T9" i="1"/>
  <c r="S9" i="1"/>
  <c r="R9" i="1"/>
  <c r="Q9" i="1"/>
  <c r="O9" i="1"/>
  <c r="M9" i="1"/>
  <c r="L9" i="1"/>
  <c r="E9" i="1"/>
  <c r="X8" i="1"/>
  <c r="W8" i="1"/>
  <c r="V8" i="1"/>
  <c r="U8" i="1"/>
  <c r="T8" i="1"/>
  <c r="S8" i="1"/>
  <c r="R8" i="1"/>
  <c r="Q8" i="1"/>
  <c r="O8" i="1"/>
  <c r="M8" i="1"/>
  <c r="L8" i="1"/>
  <c r="E8" i="1"/>
  <c r="X7" i="1"/>
  <c r="W7" i="1"/>
  <c r="V7" i="1"/>
  <c r="U7" i="1"/>
  <c r="T7" i="1"/>
  <c r="S7" i="1"/>
  <c r="R7" i="1"/>
  <c r="Q7" i="1"/>
  <c r="O7" i="1"/>
  <c r="M7" i="1"/>
  <c r="L7" i="1"/>
  <c r="E7" i="1"/>
  <c r="X6" i="1"/>
  <c r="W6" i="1"/>
  <c r="V6" i="1"/>
  <c r="U6" i="1"/>
  <c r="T6" i="1"/>
  <c r="S6" i="1"/>
  <c r="R6" i="1"/>
  <c r="Q6" i="1"/>
  <c r="O6" i="1"/>
  <c r="M6" i="1"/>
  <c r="L6" i="1"/>
  <c r="E6" i="1"/>
  <c r="X5" i="1"/>
  <c r="W5" i="1"/>
  <c r="V5" i="1"/>
  <c r="U5" i="1"/>
  <c r="T5" i="1"/>
  <c r="S5" i="1"/>
  <c r="R5" i="1"/>
  <c r="Q5" i="1"/>
  <c r="O5" i="1"/>
  <c r="M5" i="1"/>
  <c r="L5" i="1"/>
  <c r="E5" i="1"/>
  <c r="X4" i="1"/>
  <c r="W4" i="1"/>
  <c r="V4" i="1"/>
  <c r="U4" i="1"/>
  <c r="T4" i="1"/>
  <c r="S4" i="1"/>
  <c r="R4" i="1"/>
  <c r="Q4" i="1"/>
  <c r="O4" i="1"/>
  <c r="M4" i="1"/>
  <c r="L4" i="1"/>
  <c r="E4" i="1"/>
</calcChain>
</file>

<file path=xl/sharedStrings.xml><?xml version="1.0" encoding="utf-8"?>
<sst xmlns="http://schemas.openxmlformats.org/spreadsheetml/2006/main" count="302" uniqueCount="102">
  <si>
    <t>Central Services</t>
  </si>
  <si>
    <t>Registered in SkoNet</t>
  </si>
  <si>
    <t>Installed</t>
  </si>
  <si>
    <t>IPA</t>
  </si>
  <si>
    <t>SkoNet HW (_OS)</t>
  </si>
  <si>
    <t>VM name</t>
  </si>
  <si>
    <t>ONE managed</t>
  </si>
  <si>
    <t>vCPU</t>
  </si>
  <si>
    <t>RAM (GB)</t>
  </si>
  <si>
    <t>Location</t>
  </si>
  <si>
    <t>app/mgmt network - registered in SA DNS</t>
  </si>
  <si>
    <t>backup network</t>
  </si>
  <si>
    <t>storage network</t>
  </si>
  <si>
    <t> </t>
  </si>
  <si>
    <t>IP address</t>
  </si>
  <si>
    <t>FQDN</t>
  </si>
  <si>
    <t>VLAN ID</t>
  </si>
  <si>
    <t>Network name</t>
  </si>
  <si>
    <t>terminal servers</t>
  </si>
  <si>
    <t>yes</t>
  </si>
  <si>
    <t>hsmbvxip001ts</t>
  </si>
  <si>
    <t>no</t>
  </si>
  <si>
    <t>C12</t>
  </si>
  <si>
    <t>hsmbvxip002ts</t>
  </si>
  <si>
    <t>C21</t>
  </si>
  <si>
    <t>LDAP/IDM</t>
  </si>
  <si>
    <t>hsmbvxip003idm</t>
  </si>
  <si>
    <t>hsmbvxip004idm</t>
  </si>
  <si>
    <t>OpenNebula oned</t>
  </si>
  <si>
    <t>hsmbvxip005one</t>
  </si>
  <si>
    <t>hsmbvxip006one</t>
  </si>
  <si>
    <t>hsmbvxip901one</t>
  </si>
  <si>
    <t>M1</t>
  </si>
  <si>
    <t>OpenNebula GUI</t>
  </si>
  <si>
    <t>hsmbvxip007one</t>
  </si>
  <si>
    <t>hsmbvxip008one</t>
  </si>
  <si>
    <t>hsmbvxip902one</t>
  </si>
  <si>
    <t>Kubernetes Control Nodes</t>
  </si>
  <si>
    <t>hsmbvxip009kcn</t>
  </si>
  <si>
    <t>hsmbvxip010kcn</t>
  </si>
  <si>
    <t>hsmbvxip903kcn</t>
  </si>
  <si>
    <t>Kubernetes Worker Nodes</t>
  </si>
  <si>
    <t>hsmbvxip011kwn</t>
  </si>
  <si>
    <t>hsmbvxip012kwn</t>
  </si>
  <si>
    <t>hsmbvxip013kwn</t>
  </si>
  <si>
    <t>hsmbvxip014kwn</t>
  </si>
  <si>
    <t>hsmbvxip904kwn</t>
  </si>
  <si>
    <t>Kubernetes VNF</t>
  </si>
  <si>
    <t>hsmbvxip015kvn</t>
  </si>
  <si>
    <t>hsmbvxip016kvn</t>
  </si>
  <si>
    <t>Network services</t>
  </si>
  <si>
    <t>hsmbvxip017ns</t>
  </si>
  <si>
    <t>hsmbvxip018ns</t>
  </si>
  <si>
    <t>PostgreSQL</t>
  </si>
  <si>
    <t>hsmbvxip019pdb</t>
  </si>
  <si>
    <t>hsmbvxip020pdb</t>
  </si>
  <si>
    <t>hsmbvxip905pdb</t>
  </si>
  <si>
    <t>MGMT</t>
  </si>
  <si>
    <t>hsmbvxip021mgt</t>
  </si>
  <si>
    <t>GitLab</t>
  </si>
  <si>
    <t>hsmbvxip022git</t>
  </si>
  <si>
    <t>Zabbix</t>
  </si>
  <si>
    <t>hsmbvxip023zab</t>
  </si>
  <si>
    <t>Veeam bcp</t>
  </si>
  <si>
    <t>hsmbvxip024vbs</t>
  </si>
  <si>
    <t>hsmbvxip025vbr</t>
  </si>
  <si>
    <t>hsmbvxip026ors</t>
  </si>
  <si>
    <t>EPC tenant</t>
  </si>
  <si>
    <t>Network services (DNS, NTP, Jump hosts)</t>
  </si>
  <si>
    <t>N/A</t>
  </si>
  <si>
    <t>epcns1</t>
  </si>
  <si>
    <t>172.20.231.41/27</t>
  </si>
  <si>
    <t>172.20.231.57</t>
  </si>
  <si>
    <t>VIP</t>
  </si>
  <si>
    <t>epcns2</t>
  </si>
  <si>
    <t>172.20.231.42/27</t>
  </si>
  <si>
    <t>epczab</t>
  </si>
  <si>
    <t>172.20.231.43/27</t>
  </si>
  <si>
    <t>Ceph/SMB</t>
  </si>
  <si>
    <t>epcceph1</t>
  </si>
  <si>
    <t>172.20.231.56/27</t>
  </si>
  <si>
    <t>172.20.231.60/27</t>
  </si>
  <si>
    <t>Samba VIPs
epcsmb</t>
  </si>
  <si>
    <t>epcceph2</t>
  </si>
  <si>
    <t>172.20.231.55/27</t>
  </si>
  <si>
    <t>172.20.231.59/27</t>
  </si>
  <si>
    <t>epcceph3</t>
  </si>
  <si>
    <t>172.20.231.54/27</t>
  </si>
  <si>
    <t>172.20.231.58/27</t>
  </si>
  <si>
    <t>testovací WIN</t>
  </si>
  <si>
    <t>epcwint</t>
  </si>
  <si>
    <t>172.20.231.180/27</t>
  </si>
  <si>
    <t>notes:</t>
  </si>
  <si>
    <t>100.80.9.251</t>
  </si>
  <si>
    <t>OpenNebula VIP (hsmbvxip251one)</t>
  </si>
  <si>
    <t>100.80.1.200</t>
  </si>
  <si>
    <t>NS VIP (hsmbvxip200vns)</t>
  </si>
  <si>
    <t>100.80.9.250</t>
  </si>
  <si>
    <t>RKE2 VIP</t>
  </si>
  <si>
    <t>100.80.9.131</t>
  </si>
  <si>
    <t>100.80.9.132</t>
  </si>
  <si>
    <t>number of 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</si>
</sst>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385623"/>
      <name val="Calibri"/>
    </font>
    <font>
      <sz val="11"/>
      <color rgb="FFC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/>
    <xf numFmtId="0" fontId="3" fillId="2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left" wrapText="1"/>
    </xf>
    <xf numFmtId="0" fontId="3" fillId="2" borderId="8" xfId="0" applyFont="1" applyFill="1" applyBorder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6" fillId="3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4" borderId="8" xfId="0" applyFont="1" applyFill="1" applyBorder="1"/>
    <xf numFmtId="0" fontId="3" fillId="0" borderId="0" xfId="0" applyFont="1" applyAlignment="1">
      <alignment horizontal="left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/>
    </xf>
    <xf numFmtId="0" fontId="3" fillId="2" borderId="8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5" fillId="0" borderId="0" xfId="0" applyFont="1"/>
    <xf numFmtId="0" fontId="6" fillId="0" borderId="0" xfId="0" applyFont="1"/>
    <xf numFmtId="0" fontId="3" fillId="2" borderId="13" xfId="0" applyFont="1" applyFill="1" applyBorder="1" applyAlignment="1">
      <alignment horizontal="right" vertical="center"/>
    </xf>
    <xf numFmtId="0" fontId="2" fillId="0" borderId="15" xfId="0" applyFont="1" applyBorder="1"/>
    <xf numFmtId="0" fontId="3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2" borderId="3" xfId="0" applyFont="1" applyFill="1" applyBorder="1" applyAlignment="1">
      <alignment horizontal="center" wrapText="1"/>
    </xf>
    <xf numFmtId="0" fontId="2" fillId="0" borderId="9" xfId="0" applyFont="1" applyBorder="1"/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0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wrapText="1"/>
    </xf>
    <xf numFmtId="0" fontId="2" fillId="0" borderId="14" xfId="0" applyFont="1" applyBorder="1"/>
  </cellXfs>
  <cellStyles count="1">
    <cellStyle name="Normální" xfId="0" builtinId="0"/>
  </cellStyles>
  <dxfs count="6">
    <dxf>
      <font>
        <color rgb="FF385623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385623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385623"/>
      </font>
      <fill>
        <patternFill patternType="none"/>
      </fill>
    </dxf>
    <dxf>
      <font>
        <color rgb="FFC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3"/>
  <sheetViews>
    <sheetView tabSelected="1" workbookViewId="0">
      <selection activeCell="M42" sqref="M42"/>
    </sheetView>
  </sheetViews>
  <sheetFormatPr defaultColWidth="14.44140625" defaultRowHeight="15" customHeight="1" x14ac:dyDescent="0.3"/>
  <cols>
    <col min="1" max="1" width="14.109375" customWidth="1"/>
    <col min="2" max="4" width="10.33203125" customWidth="1"/>
    <col min="5" max="5" width="26" customWidth="1"/>
    <col min="6" max="6" width="25.88671875" customWidth="1"/>
    <col min="7" max="7" width="7.33203125" customWidth="1"/>
    <col min="8" max="8" width="5.33203125" customWidth="1"/>
    <col min="9" max="10" width="8.6640625" customWidth="1"/>
    <col min="11" max="11" width="4.44140625" customWidth="1"/>
    <col min="12" max="12" width="15.5546875" customWidth="1"/>
    <col min="13" max="13" width="34.6640625" customWidth="1"/>
    <col min="14" max="14" width="9.88671875" customWidth="1"/>
    <col min="15" max="15" width="17.33203125" customWidth="1"/>
    <col min="16" max="16" width="4" customWidth="1"/>
    <col min="17" max="17" width="15.6640625" customWidth="1"/>
    <col min="18" max="18" width="33" customWidth="1"/>
    <col min="19" max="19" width="9.88671875" customWidth="1"/>
    <col min="20" max="20" width="15.44140625" customWidth="1"/>
    <col min="21" max="21" width="15.6640625" customWidth="1"/>
    <col min="22" max="22" width="32.5546875" customWidth="1"/>
    <col min="23" max="23" width="9.88671875" customWidth="1"/>
    <col min="24" max="24" width="15.44140625" customWidth="1"/>
    <col min="25" max="27" width="19" customWidth="1"/>
  </cols>
  <sheetData>
    <row r="1" spans="1:24" ht="15" customHeight="1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4.25" customHeight="1" x14ac:dyDescent="0.3">
      <c r="A2" s="1"/>
      <c r="B2" s="2" t="s">
        <v>1</v>
      </c>
      <c r="C2" s="2" t="s">
        <v>2</v>
      </c>
      <c r="D2" s="3" t="s">
        <v>3</v>
      </c>
      <c r="E2" s="4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/>
      <c r="L2" s="41" t="s">
        <v>10</v>
      </c>
      <c r="M2" s="42"/>
      <c r="N2" s="42"/>
      <c r="O2" s="43"/>
      <c r="P2" s="1"/>
      <c r="Q2" s="41" t="s">
        <v>11</v>
      </c>
      <c r="R2" s="42"/>
      <c r="S2" s="42"/>
      <c r="T2" s="43"/>
      <c r="U2" s="41" t="s">
        <v>12</v>
      </c>
      <c r="V2" s="42"/>
      <c r="W2" s="42"/>
      <c r="X2" s="43"/>
    </row>
    <row r="3" spans="1:24" ht="14.25" customHeight="1" x14ac:dyDescent="0.3">
      <c r="A3" s="1"/>
      <c r="B3" s="2"/>
      <c r="C3" s="2"/>
      <c r="D3" s="5" t="s">
        <v>13</v>
      </c>
      <c r="E3" s="6"/>
      <c r="F3" s="1"/>
      <c r="G3" s="2"/>
      <c r="H3" s="1"/>
      <c r="I3" s="1"/>
      <c r="J3" s="1"/>
      <c r="K3" s="1"/>
      <c r="L3" s="7" t="s">
        <v>14</v>
      </c>
      <c r="M3" s="7" t="s">
        <v>15</v>
      </c>
      <c r="N3" s="7" t="s">
        <v>16</v>
      </c>
      <c r="O3" s="7" t="s">
        <v>17</v>
      </c>
      <c r="P3" s="7"/>
      <c r="Q3" s="7" t="s">
        <v>14</v>
      </c>
      <c r="R3" s="7" t="s">
        <v>15</v>
      </c>
      <c r="S3" s="7" t="s">
        <v>16</v>
      </c>
      <c r="T3" s="7" t="s">
        <v>17</v>
      </c>
      <c r="U3" s="7" t="s">
        <v>14</v>
      </c>
      <c r="V3" s="7" t="s">
        <v>15</v>
      </c>
      <c r="W3" s="7" t="s">
        <v>16</v>
      </c>
      <c r="X3" s="7" t="s">
        <v>17</v>
      </c>
    </row>
    <row r="4" spans="1:24" ht="14.25" customHeight="1" x14ac:dyDescent="0.3">
      <c r="A4" s="44" t="s">
        <v>18</v>
      </c>
      <c r="B4" s="8" t="s">
        <v>19</v>
      </c>
      <c r="C4" s="8" t="s">
        <v>19</v>
      </c>
      <c r="D4" s="9" t="s">
        <v>19</v>
      </c>
      <c r="E4" s="10" t="str">
        <f t="shared" ref="E4:E32" si="0">UPPER($F4)</f>
        <v>HSMBVXIP001TS</v>
      </c>
      <c r="F4" s="11" t="s">
        <v>20</v>
      </c>
      <c r="G4" s="11" t="s">
        <v>21</v>
      </c>
      <c r="H4" s="11">
        <v>8</v>
      </c>
      <c r="I4" s="11">
        <v>64</v>
      </c>
      <c r="J4" s="11" t="s">
        <v>22</v>
      </c>
      <c r="K4" s="11">
        <v>11</v>
      </c>
      <c r="L4" s="11" t="e">
        <f t="shared" ref="L4:L5" ca="1" si="1">IF(ISNUMBER($K4),IF($N4=501,_xludf.CONCAT("100.80.1.",$K4,"/24"),IF(N4=502,_xludf.CONCAT("100.80.9.",$K4,"/24"),IF(N4=504,_xludf.CONCAT("100.80.25.",$K4,"/24"),""))),"")</f>
        <v>#NAME?</v>
      </c>
      <c r="M4" s="11" t="str">
        <f ca="1">IFERROR(__xludf.DUMMYFUNCTION("SINGLE(IF(ISTEXT($F4),IF($N4=501,CONCAT($F4,"".csp01.hs.skoda.vwg""),IF(N4=502,CONCAT($F4,"".csr01.hs.skoda.vwg""),IF(N4=504,CONCAT($F4,"".adm02.hs.skoda.vwg""),""""))),""""))"),"hsmbvxip001ts.csr01.hs.skoda.vwg")</f>
        <v>hsmbvxip001ts.csr01.hs.skoda.vwg</v>
      </c>
      <c r="N4" s="11">
        <v>502</v>
      </c>
      <c r="O4" s="11" t="str">
        <f t="shared" ref="O4:O32" si="2">IF(N4=501,"H-CSP01-MB-S0001",IF(N4=502,"H-CSR01-MB-S0001",IF(N4=504,"H-ADM02-MB-S0001","")))</f>
        <v>H-CSR01-MB-S0001</v>
      </c>
      <c r="P4" s="11">
        <v>11</v>
      </c>
      <c r="Q4" s="11" t="str">
        <f ca="1">IFERROR(__xludf.DUMMYFUNCTION("SINGLE(IF(ISNUMBER($P4),CONCAT(""100.81.9."",$P4,""/24""),""""))"),"#N/A")</f>
        <v>#N/A</v>
      </c>
      <c r="R4" s="11" t="str">
        <f ca="1">IFERROR(__xludf.DUMMYFUNCTION("SINGLE(IF(ISTEXT($F4),CONCAT($F4,"".bck.hs.skoda.vwg""),""""))"),"hsmbvxip001ts.bck.hs.skoda.vwg")</f>
        <v>hsmbvxip001ts.bck.hs.skoda.vwg</v>
      </c>
      <c r="S4" s="11">
        <f t="shared" ref="S4:S32" si="3">IF(ISTEXT($F4),944,"")</f>
        <v>944</v>
      </c>
      <c r="T4" s="11" t="str">
        <f t="shared" ref="T4:T32" si="4">IF(ISTEXT($F4),"HS-BCK-001","")</f>
        <v>HS-BCK-001</v>
      </c>
      <c r="U4" s="11" t="str">
        <f ca="1">IFERROR(__xludf.DUMMYFUNCTION("SINGLE(IF(ISNUMBER($P4),CONCAT(""100.82.9."",$P4,""/24""),""""))"),"#N/A")</f>
        <v>#N/A</v>
      </c>
      <c r="V4" s="11" t="str">
        <f ca="1">IFERROR(__xludf.DUMMYFUNCTION("SINGLE(IF(ISTEXT($F4),CONCAT($F4,"".stg.hs.skoda.vwg""),""""))"),"hsmbvxip001ts.stg.hs.skoda.vwg")</f>
        <v>hsmbvxip001ts.stg.hs.skoda.vwg</v>
      </c>
      <c r="W4" s="11">
        <f t="shared" ref="W4:W32" si="5">IF(ISTEXT($F4),945,"")</f>
        <v>945</v>
      </c>
      <c r="X4" s="11" t="str">
        <f t="shared" ref="X4:X32" si="6">IF(ISTEXT($F4),"HS-STG-001","")</f>
        <v>HS-STG-001</v>
      </c>
    </row>
    <row r="5" spans="1:24" ht="14.25" customHeight="1" x14ac:dyDescent="0.3">
      <c r="A5" s="45"/>
      <c r="B5" s="8" t="s">
        <v>19</v>
      </c>
      <c r="C5" s="8" t="s">
        <v>19</v>
      </c>
      <c r="D5" s="9" t="s">
        <v>19</v>
      </c>
      <c r="E5" s="10" t="str">
        <f t="shared" si="0"/>
        <v>HSMBVXIP002TS</v>
      </c>
      <c r="F5" s="11" t="s">
        <v>23</v>
      </c>
      <c r="G5" s="11" t="s">
        <v>21</v>
      </c>
      <c r="H5" s="11">
        <v>8</v>
      </c>
      <c r="I5" s="11">
        <v>64</v>
      </c>
      <c r="J5" s="11" t="s">
        <v>24</v>
      </c>
      <c r="K5" s="11">
        <v>12</v>
      </c>
      <c r="L5" s="11" t="e">
        <f t="shared" ca="1" si="1"/>
        <v>#NAME?</v>
      </c>
      <c r="M5" s="11" t="str">
        <f ca="1">IFERROR(__xludf.DUMMYFUNCTION("SINGLE(IF(ISTEXT($F5),IF($N5=501,CONCAT($F5,"".csp01.hs.skoda.vwg""),IF(N5=502,CONCAT($F5,"".csr01.hs.skoda.vwg""),IF(N5=504,CONCAT($F5,"".adm02.hs.skoda.vwg""),""""))),""""))"),"hsmbvxip002ts.csr01.hs.skoda.vwg")</f>
        <v>hsmbvxip002ts.csr01.hs.skoda.vwg</v>
      </c>
      <c r="N5" s="11">
        <v>502</v>
      </c>
      <c r="O5" s="11" t="str">
        <f t="shared" si="2"/>
        <v>H-CSR01-MB-S0001</v>
      </c>
      <c r="P5" s="11">
        <v>12</v>
      </c>
      <c r="Q5" s="11" t="str">
        <f ca="1">IFERROR(__xludf.DUMMYFUNCTION("SINGLE(IF(ISNUMBER($P5),CONCAT(""100.81.9."",$P5,""/24""),""""))"),"#N/A")</f>
        <v>#N/A</v>
      </c>
      <c r="R5" s="11" t="str">
        <f ca="1">IFERROR(__xludf.DUMMYFUNCTION("SINGLE(IF(ISTEXT($F5),CONCAT($F5,"".bck.hs.skoda.vwg""),""""))"),"hsmbvxip002ts.bck.hs.skoda.vwg")</f>
        <v>hsmbvxip002ts.bck.hs.skoda.vwg</v>
      </c>
      <c r="S5" s="11">
        <f t="shared" si="3"/>
        <v>944</v>
      </c>
      <c r="T5" s="11" t="str">
        <f t="shared" si="4"/>
        <v>HS-BCK-001</v>
      </c>
      <c r="U5" s="11" t="str">
        <f ca="1">IFERROR(__xludf.DUMMYFUNCTION("SINGLE(IF(ISNUMBER($P5),CONCAT(""100.82.9."",$P5,""/24""),""""))"),"#N/A")</f>
        <v>#N/A</v>
      </c>
      <c r="V5" s="11" t="str">
        <f ca="1">IFERROR(__xludf.DUMMYFUNCTION("SINGLE(IF(ISTEXT($F5),CONCAT($F5,"".stg.hs.skoda.vwg""),""""))"),"hsmbvxip002ts.stg.hs.skoda.vwg")</f>
        <v>hsmbvxip002ts.stg.hs.skoda.vwg</v>
      </c>
      <c r="W5" s="11">
        <f t="shared" si="5"/>
        <v>945</v>
      </c>
      <c r="X5" s="11" t="str">
        <f t="shared" si="6"/>
        <v>HS-STG-001</v>
      </c>
    </row>
    <row r="6" spans="1:24" ht="14.25" customHeight="1" x14ac:dyDescent="0.3">
      <c r="A6" s="46" t="s">
        <v>25</v>
      </c>
      <c r="B6" s="12" t="s">
        <v>19</v>
      </c>
      <c r="C6" s="12" t="s">
        <v>19</v>
      </c>
      <c r="D6" s="13" t="s">
        <v>19</v>
      </c>
      <c r="E6" s="14" t="str">
        <f t="shared" si="0"/>
        <v>HSMBVXIP003IDM</v>
      </c>
      <c r="F6" s="15" t="s">
        <v>26</v>
      </c>
      <c r="G6" s="15" t="s">
        <v>21</v>
      </c>
      <c r="H6" s="15">
        <v>4</v>
      </c>
      <c r="I6" s="15">
        <v>16</v>
      </c>
      <c r="J6" s="15" t="s">
        <v>22</v>
      </c>
      <c r="K6" s="15">
        <v>13</v>
      </c>
      <c r="L6" s="15" t="str">
        <f ca="1">IFERROR(__xludf.DUMMYFUNCTION("SINGLE(IF(ISNUMBER($K6),IF($N6=501,CONCAT(""100.80.1."",$K6,""/24""),IF(N6=502,CONCAT(""100.80.9."",$K6,""/24""),IF(N6=504,CONCAT(""100.80.25."",$K6,""/24""),""""))),""""))"),"#N/A")</f>
        <v>#N/A</v>
      </c>
      <c r="M6" s="15" t="str">
        <f ca="1">IFERROR(__xludf.DUMMYFUNCTION("SINGLE(IF(ISTEXT($F6),IF($N6=501,CONCAT($F6,"".csp01.hs.skoda.vwg""),IF(N6=502,CONCAT($F6,"".csr01.hs.skoda.vwg""),IF(N6=504,CONCAT($F6,"".adm02.hs.skoda.vwg""),""""))),""""))"),"hsmbvxip003idm.csr01.hs.skoda.vwg")</f>
        <v>hsmbvxip003idm.csr01.hs.skoda.vwg</v>
      </c>
      <c r="N6" s="15">
        <v>502</v>
      </c>
      <c r="O6" s="15" t="str">
        <f t="shared" si="2"/>
        <v>H-CSR01-MB-S0001</v>
      </c>
      <c r="P6" s="15">
        <v>13</v>
      </c>
      <c r="Q6" s="15" t="str">
        <f ca="1">IFERROR(__xludf.DUMMYFUNCTION("SINGLE(IF(ISNUMBER($P6),CONCAT(""100.81.9."",$P6,""/24""),""""))"),"#N/A")</f>
        <v>#N/A</v>
      </c>
      <c r="R6" s="15" t="str">
        <f ca="1">IFERROR(__xludf.DUMMYFUNCTION("SINGLE(IF(ISTEXT($F6),CONCAT($F6,"".bck.hs.skoda.vwg""),""""))"),"hsmbvxip003idm.bck.hs.skoda.vwg")</f>
        <v>hsmbvxip003idm.bck.hs.skoda.vwg</v>
      </c>
      <c r="S6" s="15">
        <f t="shared" si="3"/>
        <v>944</v>
      </c>
      <c r="T6" s="15" t="str">
        <f t="shared" si="4"/>
        <v>HS-BCK-001</v>
      </c>
      <c r="U6" s="15" t="str">
        <f ca="1">IFERROR(__xludf.DUMMYFUNCTION("SINGLE(IF(ISNUMBER($P6),CONCAT(""100.82.9."",$P6,""/24""),""""))"),"#N/A")</f>
        <v>#N/A</v>
      </c>
      <c r="V6" s="15" t="str">
        <f ca="1">IFERROR(__xludf.DUMMYFUNCTION("SINGLE(IF(ISTEXT($F6),CONCAT($F6,"".stg.hs.skoda.vwg""),""""))"),"hsmbvxip003idm.stg.hs.skoda.vwg")</f>
        <v>hsmbvxip003idm.stg.hs.skoda.vwg</v>
      </c>
      <c r="W6" s="15">
        <f t="shared" si="5"/>
        <v>945</v>
      </c>
      <c r="X6" s="15" t="str">
        <f t="shared" si="6"/>
        <v>HS-STG-001</v>
      </c>
    </row>
    <row r="7" spans="1:24" ht="14.25" customHeight="1" x14ac:dyDescent="0.3">
      <c r="A7" s="47"/>
      <c r="B7" s="12" t="s">
        <v>19</v>
      </c>
      <c r="C7" s="12" t="s">
        <v>19</v>
      </c>
      <c r="D7" s="13" t="s">
        <v>19</v>
      </c>
      <c r="E7" s="14" t="str">
        <f t="shared" si="0"/>
        <v>HSMBVXIP004IDM</v>
      </c>
      <c r="F7" s="15" t="s">
        <v>27</v>
      </c>
      <c r="G7" s="15" t="s">
        <v>21</v>
      </c>
      <c r="H7" s="15">
        <v>4</v>
      </c>
      <c r="I7" s="15">
        <v>16</v>
      </c>
      <c r="J7" s="15" t="s">
        <v>24</v>
      </c>
      <c r="K7" s="15">
        <v>14</v>
      </c>
      <c r="L7" s="15" t="str">
        <f ca="1">IFERROR(__xludf.DUMMYFUNCTION("SINGLE(IF(ISNUMBER($K7),IF($N7=501,CONCAT(""100.80.1."",$K7,""/24""),IF(N7=502,CONCAT(""100.80.9."",$K7,""/24""),IF(N7=504,CONCAT(""100.80.25."",$K7,""/24""),""""))),""""))"),"#N/A")</f>
        <v>#N/A</v>
      </c>
      <c r="M7" s="15" t="str">
        <f ca="1">IFERROR(__xludf.DUMMYFUNCTION("SINGLE(IF(ISTEXT($F7),IF($N7=501,CONCAT($F7,"".csp01.hs.skoda.vwg""),IF(N7=502,CONCAT($F7,"".csr01.hs.skoda.vwg""),IF(N7=504,CONCAT($F7,"".adm02.hs.skoda.vwg""),""""))),""""))"),"hsmbvxip004idm.csr01.hs.skoda.vwg")</f>
        <v>hsmbvxip004idm.csr01.hs.skoda.vwg</v>
      </c>
      <c r="N7" s="15">
        <v>502</v>
      </c>
      <c r="O7" s="15" t="str">
        <f t="shared" si="2"/>
        <v>H-CSR01-MB-S0001</v>
      </c>
      <c r="P7" s="15">
        <v>14</v>
      </c>
      <c r="Q7" s="15" t="str">
        <f ca="1">IFERROR(__xludf.DUMMYFUNCTION("SINGLE(IF(ISNUMBER($P7),CONCAT(""100.81.9."",$P7,""/24""),""""))"),"#N/A")</f>
        <v>#N/A</v>
      </c>
      <c r="R7" s="15" t="str">
        <f ca="1">IFERROR(__xludf.DUMMYFUNCTION("SINGLE(IF(ISTEXT($F7),CONCAT($F7,"".bck.hs.skoda.vwg""),""""))"),"hsmbvxip004idm.bck.hs.skoda.vwg")</f>
        <v>hsmbvxip004idm.bck.hs.skoda.vwg</v>
      </c>
      <c r="S7" s="15">
        <f t="shared" si="3"/>
        <v>944</v>
      </c>
      <c r="T7" s="15" t="str">
        <f t="shared" si="4"/>
        <v>HS-BCK-001</v>
      </c>
      <c r="U7" s="15" t="str">
        <f ca="1">IFERROR(__xludf.DUMMYFUNCTION("SINGLE(IF(ISNUMBER($P7),CONCAT(""100.82.9."",$P7,""/24""),""""))"),"#N/A")</f>
        <v>#N/A</v>
      </c>
      <c r="V7" s="15" t="str">
        <f ca="1">IFERROR(__xludf.DUMMYFUNCTION("SINGLE(IF(ISTEXT($F7),CONCAT($F7,"".stg.hs.skoda.vwg""),""""))"),"hsmbvxip004idm.stg.hs.skoda.vwg")</f>
        <v>hsmbvxip004idm.stg.hs.skoda.vwg</v>
      </c>
      <c r="W7" s="15">
        <f t="shared" si="5"/>
        <v>945</v>
      </c>
      <c r="X7" s="15" t="str">
        <f t="shared" si="6"/>
        <v>HS-STG-001</v>
      </c>
    </row>
    <row r="8" spans="1:24" ht="14.25" customHeight="1" x14ac:dyDescent="0.3">
      <c r="A8" s="48" t="s">
        <v>28</v>
      </c>
      <c r="B8" s="16" t="s">
        <v>19</v>
      </c>
      <c r="C8" s="16" t="s">
        <v>19</v>
      </c>
      <c r="D8" s="9" t="s">
        <v>19</v>
      </c>
      <c r="E8" s="17" t="str">
        <f t="shared" si="0"/>
        <v>HSMBVXIP005ONE</v>
      </c>
      <c r="F8" s="11" t="s">
        <v>29</v>
      </c>
      <c r="G8" s="11" t="s">
        <v>21</v>
      </c>
      <c r="H8" s="11">
        <v>8</v>
      </c>
      <c r="I8" s="11">
        <v>16</v>
      </c>
      <c r="J8" s="11" t="s">
        <v>22</v>
      </c>
      <c r="K8" s="11">
        <v>15</v>
      </c>
      <c r="L8" s="11" t="str">
        <f ca="1">IFERROR(__xludf.DUMMYFUNCTION("SINGLE(IF(ISNUMBER($K8),IF($N8=501,CONCAT(""100.80.1."",$K8,""/24""),IF(N8=502,CONCAT(""100.80.9."",$K8,""/24""),IF(N8=504,CONCAT(""100.80.25."",$K8,""/24""),""""))),""""))"),"#N/A")</f>
        <v>#N/A</v>
      </c>
      <c r="M8" s="11" t="str">
        <f ca="1">IFERROR(__xludf.DUMMYFUNCTION("SINGLE(IF(ISTEXT($F8),IF($N8=501,CONCAT($F8,"".csp01.hs.skoda.vwg""),IF(N8=502,CONCAT($F8,"".csr01.hs.skoda.vwg""),IF(N8=504,CONCAT($F8,"".adm02.hs.skoda.vwg""),""""))),""""))"),"hsmbvxip005one.csr01.hs.skoda.vwg")</f>
        <v>hsmbvxip005one.csr01.hs.skoda.vwg</v>
      </c>
      <c r="N8" s="11">
        <v>502</v>
      </c>
      <c r="O8" s="11" t="str">
        <f t="shared" si="2"/>
        <v>H-CSR01-MB-S0001</v>
      </c>
      <c r="P8" s="11">
        <v>15</v>
      </c>
      <c r="Q8" s="11" t="str">
        <f ca="1">IFERROR(__xludf.DUMMYFUNCTION("SINGLE(IF(ISNUMBER($P8),CONCAT(""100.81.9."",$P8,""/24""),""""))"),"#N/A")</f>
        <v>#N/A</v>
      </c>
      <c r="R8" s="11" t="str">
        <f ca="1">IFERROR(__xludf.DUMMYFUNCTION("SINGLE(IF(ISTEXT($F8),CONCAT($F8,"".bck.hs.skoda.vwg""),""""))"),"hsmbvxip005one.bck.hs.skoda.vwg")</f>
        <v>hsmbvxip005one.bck.hs.skoda.vwg</v>
      </c>
      <c r="S8" s="11">
        <f t="shared" si="3"/>
        <v>944</v>
      </c>
      <c r="T8" s="11" t="str">
        <f t="shared" si="4"/>
        <v>HS-BCK-001</v>
      </c>
      <c r="U8" s="11" t="str">
        <f ca="1">IFERROR(__xludf.DUMMYFUNCTION("SINGLE(IF(ISNUMBER($P8),CONCAT(""100.82.9."",$P8,""/24""),""""))"),"#N/A")</f>
        <v>#N/A</v>
      </c>
      <c r="V8" s="11" t="str">
        <f ca="1">IFERROR(__xludf.DUMMYFUNCTION("SINGLE(IF(ISTEXT($F8),CONCAT($F8,"".stg.hs.skoda.vwg""),""""))"),"hsmbvxip005one.stg.hs.skoda.vwg")</f>
        <v>hsmbvxip005one.stg.hs.skoda.vwg</v>
      </c>
      <c r="W8" s="11">
        <f t="shared" si="5"/>
        <v>945</v>
      </c>
      <c r="X8" s="11" t="str">
        <f t="shared" si="6"/>
        <v>HS-STG-001</v>
      </c>
    </row>
    <row r="9" spans="1:24" ht="14.25" customHeight="1" x14ac:dyDescent="0.3">
      <c r="A9" s="47"/>
      <c r="B9" s="16" t="s">
        <v>19</v>
      </c>
      <c r="C9" s="16" t="s">
        <v>19</v>
      </c>
      <c r="D9" s="9" t="s">
        <v>19</v>
      </c>
      <c r="E9" s="17" t="str">
        <f t="shared" si="0"/>
        <v>HSMBVXIP006ONE</v>
      </c>
      <c r="F9" s="11" t="s">
        <v>30</v>
      </c>
      <c r="G9" s="11" t="s">
        <v>21</v>
      </c>
      <c r="H9" s="11">
        <v>8</v>
      </c>
      <c r="I9" s="11">
        <v>16</v>
      </c>
      <c r="J9" s="11" t="s">
        <v>24</v>
      </c>
      <c r="K9" s="11">
        <v>16</v>
      </c>
      <c r="L9" s="11" t="str">
        <f ca="1">IFERROR(__xludf.DUMMYFUNCTION("SINGLE(IF(ISNUMBER($K9),IF($N9=501,CONCAT(""100.80.1."",$K9,""/24""),IF(N9=502,CONCAT(""100.80.9."",$K9,""/24""),IF(N9=504,CONCAT(""100.80.25."",$K9,""/24""),""""))),""""))"),"#N/A")</f>
        <v>#N/A</v>
      </c>
      <c r="M9" s="11" t="str">
        <f ca="1">IFERROR(__xludf.DUMMYFUNCTION("SINGLE(IF(ISTEXT($F9),IF($N9=501,CONCAT($F9,"".csp01.hs.skoda.vwg""),IF(N9=502,CONCAT($F9,"".csr01.hs.skoda.vwg""),IF(N9=504,CONCAT($F9,"".adm02.hs.skoda.vwg""),""""))),""""))"),"hsmbvxip006one.csr01.hs.skoda.vwg")</f>
        <v>hsmbvxip006one.csr01.hs.skoda.vwg</v>
      </c>
      <c r="N9" s="11">
        <v>502</v>
      </c>
      <c r="O9" s="11" t="str">
        <f t="shared" si="2"/>
        <v>H-CSR01-MB-S0001</v>
      </c>
      <c r="P9" s="11">
        <v>16</v>
      </c>
      <c r="Q9" s="11" t="str">
        <f ca="1">IFERROR(__xludf.DUMMYFUNCTION("SINGLE(IF(ISNUMBER($P9),CONCAT(""100.81.9."",$P9,""/24""),""""))"),"#N/A")</f>
        <v>#N/A</v>
      </c>
      <c r="R9" s="11" t="str">
        <f ca="1">IFERROR(__xludf.DUMMYFUNCTION("SINGLE(IF(ISTEXT($F9),CONCAT($F9,"".bck.hs.skoda.vwg""),""""))"),"hsmbvxip006one.bck.hs.skoda.vwg")</f>
        <v>hsmbvxip006one.bck.hs.skoda.vwg</v>
      </c>
      <c r="S9" s="11">
        <f t="shared" si="3"/>
        <v>944</v>
      </c>
      <c r="T9" s="11" t="str">
        <f t="shared" si="4"/>
        <v>HS-BCK-001</v>
      </c>
      <c r="U9" s="11" t="str">
        <f ca="1">IFERROR(__xludf.DUMMYFUNCTION("SINGLE(IF(ISNUMBER($P9),CONCAT(""100.82.9."",$P9,""/24""),""""))"),"#N/A")</f>
        <v>#N/A</v>
      </c>
      <c r="V9" s="11" t="str">
        <f ca="1">IFERROR(__xludf.DUMMYFUNCTION("SINGLE(IF(ISTEXT($F9),CONCAT($F9,"".stg.hs.skoda.vwg""),""""))"),"hsmbvxip006one.stg.hs.skoda.vwg")</f>
        <v>hsmbvxip006one.stg.hs.skoda.vwg</v>
      </c>
      <c r="W9" s="11">
        <f t="shared" si="5"/>
        <v>945</v>
      </c>
      <c r="X9" s="11" t="str">
        <f t="shared" si="6"/>
        <v>HS-STG-001</v>
      </c>
    </row>
    <row r="10" spans="1:24" ht="14.25" customHeight="1" x14ac:dyDescent="0.3">
      <c r="A10" s="45"/>
      <c r="B10" s="16" t="s">
        <v>19</v>
      </c>
      <c r="C10" s="16" t="s">
        <v>19</v>
      </c>
      <c r="D10" s="9" t="s">
        <v>19</v>
      </c>
      <c r="E10" s="17" t="str">
        <f t="shared" si="0"/>
        <v>HSMBVXIP901ONE</v>
      </c>
      <c r="F10" s="11" t="s">
        <v>31</v>
      </c>
      <c r="G10" s="11" t="s">
        <v>21</v>
      </c>
      <c r="H10" s="11">
        <v>8</v>
      </c>
      <c r="I10" s="11">
        <v>16</v>
      </c>
      <c r="J10" s="11" t="s">
        <v>32</v>
      </c>
      <c r="K10" s="11">
        <v>17</v>
      </c>
      <c r="L10" s="11" t="str">
        <f ca="1">IFERROR(__xludf.DUMMYFUNCTION("SINGLE(IF(ISNUMBER($K10),IF($N10=501,CONCAT(""100.80.1."",$K10,""/24""),IF(N10=502,CONCAT(""100.80.9."",$K10,""/24""),IF(N10=504,CONCAT(""100.80.25."",$K10,""/24""),""""))),""""))"),"#N/A")</f>
        <v>#N/A</v>
      </c>
      <c r="M10" s="11" t="str">
        <f ca="1">IFERROR(__xludf.DUMMYFUNCTION("SINGLE(IF(ISTEXT($F10),IF($N10=501,CONCAT($F10,"".csp01.hs.skoda.vwg""),IF(N10=502,CONCAT($F10,"".csr01.hs.skoda.vwg""),IF(N10=504,CONCAT($F10,"".adm02.hs.skoda.vwg""),""""))),""""))"),"hsmbvxip901one.csr01.hs.skoda.vwg")</f>
        <v>hsmbvxip901one.csr01.hs.skoda.vwg</v>
      </c>
      <c r="N10" s="11">
        <v>502</v>
      </c>
      <c r="O10" s="11" t="str">
        <f t="shared" si="2"/>
        <v>H-CSR01-MB-S0001</v>
      </c>
      <c r="P10" s="11">
        <v>17</v>
      </c>
      <c r="Q10" s="11" t="str">
        <f ca="1">IFERROR(__xludf.DUMMYFUNCTION("SINGLE(IF(ISNUMBER($P10),CONCAT(""100.81.9."",$P10,""/24""),""""))"),"#N/A")</f>
        <v>#N/A</v>
      </c>
      <c r="R10" s="11" t="str">
        <f ca="1">IFERROR(__xludf.DUMMYFUNCTION("SINGLE(IF(ISTEXT($F10),CONCAT($F10,"".bck.hs.skoda.vwg""),""""))"),"hsmbvxip901one.bck.hs.skoda.vwg")</f>
        <v>hsmbvxip901one.bck.hs.skoda.vwg</v>
      </c>
      <c r="S10" s="11">
        <f t="shared" si="3"/>
        <v>944</v>
      </c>
      <c r="T10" s="11" t="str">
        <f t="shared" si="4"/>
        <v>HS-BCK-001</v>
      </c>
      <c r="U10" s="11" t="str">
        <f ca="1">IFERROR(__xludf.DUMMYFUNCTION("SINGLE(IF(ISNUMBER($P10),CONCAT(""100.82.9."",$P10,""/24""),""""))"),"#N/A")</f>
        <v>#N/A</v>
      </c>
      <c r="V10" s="11" t="str">
        <f ca="1">IFERROR(__xludf.DUMMYFUNCTION("SINGLE(IF(ISTEXT($F10),CONCAT($F10,"".stg.hs.skoda.vwg""),""""))"),"hsmbvxip901one.stg.hs.skoda.vwg")</f>
        <v>hsmbvxip901one.stg.hs.skoda.vwg</v>
      </c>
      <c r="W10" s="11">
        <f t="shared" si="5"/>
        <v>945</v>
      </c>
      <c r="X10" s="11" t="str">
        <f t="shared" si="6"/>
        <v>HS-STG-001</v>
      </c>
    </row>
    <row r="11" spans="1:24" ht="14.25" customHeight="1" x14ac:dyDescent="0.3">
      <c r="A11" s="56" t="s">
        <v>33</v>
      </c>
      <c r="B11" s="19" t="s">
        <v>19</v>
      </c>
      <c r="C11" s="19" t="s">
        <v>21</v>
      </c>
      <c r="D11" s="20" t="s">
        <v>21</v>
      </c>
      <c r="E11" s="21" t="str">
        <f t="shared" si="0"/>
        <v>HSMBVXIP007ONE</v>
      </c>
      <c r="F11" s="15" t="s">
        <v>34</v>
      </c>
      <c r="G11" s="15" t="s">
        <v>21</v>
      </c>
      <c r="H11" s="15">
        <v>4</v>
      </c>
      <c r="I11" s="15">
        <v>8</v>
      </c>
      <c r="J11" s="15" t="s">
        <v>22</v>
      </c>
      <c r="K11" s="15">
        <v>11</v>
      </c>
      <c r="L11" s="15" t="str">
        <f ca="1">IFERROR(__xludf.DUMMYFUNCTION("SINGLE(IF(ISNUMBER($K11),IF($N11=501,CONCAT(""100.80.1."",$K11,""/24""),IF(N11=502,CONCAT(""100.80.9."",$K11,""/24""),IF(N11=504,CONCAT(""100.80.25."",$K11,""/24""),""""))),""""))"),"#N/A")</f>
        <v>#N/A</v>
      </c>
      <c r="M11" s="15" t="str">
        <f ca="1">IFERROR(__xludf.DUMMYFUNCTION("SINGLE(IF(ISTEXT($F11),IF($N11=501,CONCAT($F11,"".csp01.hs.skoda.vwg""),IF(N11=502,CONCAT($F11,"".csr01.hs.skoda.vwg""),IF(N11=504,CONCAT($F11,"".adm02.hs.skoda.vwg""),""""))),""""))"),"hsmbvxip007one.csp01.hs.skoda.vwg")</f>
        <v>hsmbvxip007one.csp01.hs.skoda.vwg</v>
      </c>
      <c r="N11" s="15">
        <v>501</v>
      </c>
      <c r="O11" s="15" t="str">
        <f t="shared" si="2"/>
        <v>H-CSP01-MB-S0001</v>
      </c>
      <c r="P11" s="15">
        <v>151</v>
      </c>
      <c r="Q11" s="15" t="str">
        <f ca="1">IFERROR(__xludf.DUMMYFUNCTION("SINGLE(IF(ISNUMBER($P11),CONCAT(""100.81.9."",$P11,""/24""),""""))"),"#N/A")</f>
        <v>#N/A</v>
      </c>
      <c r="R11" s="15" t="str">
        <f ca="1">IFERROR(__xludf.DUMMYFUNCTION("SINGLE(IF(ISTEXT($F11),CONCAT($F11,"".bck.hs.skoda.vwg""),""""))"),"hsmbvxip007one.bck.hs.skoda.vwg")</f>
        <v>hsmbvxip007one.bck.hs.skoda.vwg</v>
      </c>
      <c r="S11" s="15">
        <f t="shared" si="3"/>
        <v>944</v>
      </c>
      <c r="T11" s="15" t="str">
        <f t="shared" si="4"/>
        <v>HS-BCK-001</v>
      </c>
      <c r="U11" s="15" t="str">
        <f ca="1">IFERROR(__xludf.DUMMYFUNCTION("SINGLE(IF(ISNUMBER($P11),CONCAT(""100.82.9."",$P11,""/24""),""""))"),"#N/A")</f>
        <v>#N/A</v>
      </c>
      <c r="V11" s="15" t="str">
        <f ca="1">IFERROR(__xludf.DUMMYFUNCTION("SINGLE(IF(ISTEXT($F11),CONCAT($F11,"".stg.hs.skoda.vwg""),""""))"),"hsmbvxip007one.stg.hs.skoda.vwg")</f>
        <v>hsmbvxip007one.stg.hs.skoda.vwg</v>
      </c>
      <c r="W11" s="15">
        <f t="shared" si="5"/>
        <v>945</v>
      </c>
      <c r="X11" s="15" t="str">
        <f t="shared" si="6"/>
        <v>HS-STG-001</v>
      </c>
    </row>
    <row r="12" spans="1:24" ht="14.25" customHeight="1" x14ac:dyDescent="0.3">
      <c r="A12" s="47"/>
      <c r="B12" s="19" t="s">
        <v>19</v>
      </c>
      <c r="C12" s="19" t="s">
        <v>21</v>
      </c>
      <c r="D12" s="20" t="s">
        <v>21</v>
      </c>
      <c r="E12" s="21" t="str">
        <f t="shared" si="0"/>
        <v>HSMBVXIP008ONE</v>
      </c>
      <c r="F12" s="15" t="s">
        <v>35</v>
      </c>
      <c r="G12" s="15" t="s">
        <v>21</v>
      </c>
      <c r="H12" s="15">
        <v>4</v>
      </c>
      <c r="I12" s="15">
        <v>8</v>
      </c>
      <c r="J12" s="15" t="s">
        <v>24</v>
      </c>
      <c r="K12" s="15">
        <v>12</v>
      </c>
      <c r="L12" s="15" t="str">
        <f ca="1">IFERROR(__xludf.DUMMYFUNCTION("SINGLE(IF(ISNUMBER($K12),IF($N12=501,CONCAT(""100.80.1."",$K12,""/24""),IF(N12=502,CONCAT(""100.80.9."",$K12,""/24""),IF(N12=504,CONCAT(""100.80.25."",$K12,""/24""),""""))),""""))"),"#N/A")</f>
        <v>#N/A</v>
      </c>
      <c r="M12" s="15" t="str">
        <f ca="1">IFERROR(__xludf.DUMMYFUNCTION("SINGLE(IF(ISTEXT($F12),IF($N12=501,CONCAT($F12,"".csp01.hs.skoda.vwg""),IF(N12=502,CONCAT($F12,"".csr01.hs.skoda.vwg""),IF(N12=504,CONCAT($F12,"".adm02.hs.skoda.vwg""),""""))),""""))"),"hsmbvxip008one.csp01.hs.skoda.vwg")</f>
        <v>hsmbvxip008one.csp01.hs.skoda.vwg</v>
      </c>
      <c r="N12" s="15">
        <v>501</v>
      </c>
      <c r="O12" s="15" t="str">
        <f t="shared" si="2"/>
        <v>H-CSP01-MB-S0001</v>
      </c>
      <c r="P12" s="15">
        <v>152</v>
      </c>
      <c r="Q12" s="15" t="str">
        <f ca="1">IFERROR(__xludf.DUMMYFUNCTION("SINGLE(IF(ISNUMBER($P12),CONCAT(""100.81.9."",$P12,""/24""),""""))"),"#N/A")</f>
        <v>#N/A</v>
      </c>
      <c r="R12" s="15" t="str">
        <f ca="1">IFERROR(__xludf.DUMMYFUNCTION("SINGLE(IF(ISTEXT($F12),CONCAT($F12,"".bck.hs.skoda.vwg""),""""))"),"hsmbvxip008one.bck.hs.skoda.vwg")</f>
        <v>hsmbvxip008one.bck.hs.skoda.vwg</v>
      </c>
      <c r="S12" s="15">
        <f t="shared" si="3"/>
        <v>944</v>
      </c>
      <c r="T12" s="15" t="str">
        <f t="shared" si="4"/>
        <v>HS-BCK-001</v>
      </c>
      <c r="U12" s="15" t="str">
        <f ca="1">IFERROR(__xludf.DUMMYFUNCTION("SINGLE(IF(ISNUMBER($P12),CONCAT(""100.82.9."",$P12,""/24""),""""))"),"#N/A")</f>
        <v>#N/A</v>
      </c>
      <c r="V12" s="15" t="str">
        <f ca="1">IFERROR(__xludf.DUMMYFUNCTION("SINGLE(IF(ISTEXT($F12),CONCAT($F12,"".stg.hs.skoda.vwg""),""""))"),"hsmbvxip008one.stg.hs.skoda.vwg")</f>
        <v>hsmbvxip008one.stg.hs.skoda.vwg</v>
      </c>
      <c r="W12" s="15">
        <f t="shared" si="5"/>
        <v>945</v>
      </c>
      <c r="X12" s="15" t="str">
        <f t="shared" si="6"/>
        <v>HS-STG-001</v>
      </c>
    </row>
    <row r="13" spans="1:24" ht="14.25" customHeight="1" x14ac:dyDescent="0.3">
      <c r="A13" s="47"/>
      <c r="B13" s="19" t="s">
        <v>19</v>
      </c>
      <c r="C13" s="19" t="s">
        <v>21</v>
      </c>
      <c r="D13" s="20" t="s">
        <v>21</v>
      </c>
      <c r="E13" s="21" t="str">
        <f t="shared" si="0"/>
        <v>HSMBVXIP902ONE</v>
      </c>
      <c r="F13" s="15" t="s">
        <v>36</v>
      </c>
      <c r="G13" s="15" t="s">
        <v>21</v>
      </c>
      <c r="H13" s="15">
        <v>4</v>
      </c>
      <c r="I13" s="15">
        <v>8</v>
      </c>
      <c r="J13" s="15" t="s">
        <v>32</v>
      </c>
      <c r="K13" s="15">
        <v>13</v>
      </c>
      <c r="L13" s="15" t="str">
        <f ca="1">IFERROR(__xludf.DUMMYFUNCTION("SINGLE(IF(ISNUMBER($K13),IF($N13=501,CONCAT(""100.80.1."",$K13,""/24""),IF(N13=502,CONCAT(""100.80.9."",$K13,""/24""),IF(N13=504,CONCAT(""100.80.25."",$K13,""/24""),""""))),""""))"),"#N/A")</f>
        <v>#N/A</v>
      </c>
      <c r="M13" s="15" t="str">
        <f ca="1">IFERROR(__xludf.DUMMYFUNCTION("SINGLE(IF(ISTEXT($F13),IF($N13=501,CONCAT($F13,"".csp01.hs.skoda.vwg""),IF(N13=502,CONCAT($F13,"".csr01.hs.skoda.vwg""),IF(N13=504,CONCAT($F13,"".adm02.hs.skoda.vwg""),""""))),""""))"),"hsmbvxip902one.csp01.hs.skoda.vwg")</f>
        <v>hsmbvxip902one.csp01.hs.skoda.vwg</v>
      </c>
      <c r="N13" s="15">
        <v>501</v>
      </c>
      <c r="O13" s="15" t="str">
        <f t="shared" si="2"/>
        <v>H-CSP01-MB-S0001</v>
      </c>
      <c r="P13" s="15">
        <v>153</v>
      </c>
      <c r="Q13" s="15" t="str">
        <f ca="1">IFERROR(__xludf.DUMMYFUNCTION("SINGLE(IF(ISNUMBER($P13),CONCAT(""100.81.9."",$P13,""/24""),""""))"),"#N/A")</f>
        <v>#N/A</v>
      </c>
      <c r="R13" s="15" t="str">
        <f ca="1">IFERROR(__xludf.DUMMYFUNCTION("SINGLE(IF(ISTEXT($F13),CONCAT($F13,"".bck.hs.skoda.vwg""),""""))"),"hsmbvxip902one.bck.hs.skoda.vwg")</f>
        <v>hsmbvxip902one.bck.hs.skoda.vwg</v>
      </c>
      <c r="S13" s="15">
        <f t="shared" si="3"/>
        <v>944</v>
      </c>
      <c r="T13" s="15" t="str">
        <f t="shared" si="4"/>
        <v>HS-BCK-001</v>
      </c>
      <c r="U13" s="15" t="str">
        <f ca="1">IFERROR(__xludf.DUMMYFUNCTION("SINGLE(IF(ISNUMBER($P13),CONCAT(""100.82.9."",$P13,""/24""),""""))"),"#N/A")</f>
        <v>#N/A</v>
      </c>
      <c r="V13" s="15" t="str">
        <f ca="1">IFERROR(__xludf.DUMMYFUNCTION("SINGLE(IF(ISTEXT($F13),CONCAT($F13,"".stg.hs.skoda.vwg""),""""))"),"hsmbvxip902one.stg.hs.skoda.vwg")</f>
        <v>hsmbvxip902one.stg.hs.skoda.vwg</v>
      </c>
      <c r="W13" s="15">
        <f t="shared" si="5"/>
        <v>945</v>
      </c>
      <c r="X13" s="15" t="str">
        <f t="shared" si="6"/>
        <v>HS-STG-001</v>
      </c>
    </row>
    <row r="14" spans="1:24" ht="14.25" customHeight="1" x14ac:dyDescent="0.3">
      <c r="A14" s="57" t="s">
        <v>37</v>
      </c>
      <c r="B14" s="8" t="s">
        <v>19</v>
      </c>
      <c r="C14" s="8" t="s">
        <v>21</v>
      </c>
      <c r="D14" s="22" t="s">
        <v>21</v>
      </c>
      <c r="E14" s="10" t="str">
        <f t="shared" si="0"/>
        <v>HSMBVXIP009KCN</v>
      </c>
      <c r="F14" s="11" t="s">
        <v>38</v>
      </c>
      <c r="G14" s="11" t="s">
        <v>19</v>
      </c>
      <c r="H14" s="11">
        <v>4</v>
      </c>
      <c r="I14" s="11">
        <v>16</v>
      </c>
      <c r="J14" s="11" t="s">
        <v>22</v>
      </c>
      <c r="K14" s="11">
        <v>18</v>
      </c>
      <c r="L14" s="11" t="str">
        <f ca="1">IFERROR(__xludf.DUMMYFUNCTION("SINGLE(IF(ISNUMBER($K14),IF($N14=501,CONCAT(""100.80.1."",$K14,""/24""),IF(N14=502,CONCAT(""100.80.9."",$K14,""/24""),IF(N14=504,CONCAT(""100.80.25."",$K14,""/24""),""""))),""""))"),"#N/A")</f>
        <v>#N/A</v>
      </c>
      <c r="M14" s="11" t="str">
        <f ca="1">IFERROR(__xludf.DUMMYFUNCTION("SINGLE(IF(ISTEXT($F14),IF($N14=501,CONCAT($F14,"".csp01.hs.skoda.vwg""),IF(N14=502,CONCAT($F14,"".csr01.hs.skoda.vwg""),IF(N14=504,CONCAT($F14,"".adm02.hs.skoda.vwg""),""""))),""""))"),"hsmbvxip009kcn.csr01.hs.skoda.vwg")</f>
        <v>hsmbvxip009kcn.csr01.hs.skoda.vwg</v>
      </c>
      <c r="N14" s="11">
        <v>502</v>
      </c>
      <c r="O14" s="11" t="str">
        <f t="shared" si="2"/>
        <v>H-CSR01-MB-S0001</v>
      </c>
      <c r="P14" s="11">
        <v>18</v>
      </c>
      <c r="Q14" s="11" t="str">
        <f ca="1">IFERROR(__xludf.DUMMYFUNCTION("SINGLE(IF(ISNUMBER($P14),CONCAT(""100.81.9."",$P14,""/24""),""""))"),"#N/A")</f>
        <v>#N/A</v>
      </c>
      <c r="R14" s="11" t="str">
        <f ca="1">IFERROR(__xludf.DUMMYFUNCTION("SINGLE(IF(ISTEXT($F14),CONCAT($F14,"".bck.hs.skoda.vwg""),""""))"),"hsmbvxip009kcn.bck.hs.skoda.vwg")</f>
        <v>hsmbvxip009kcn.bck.hs.skoda.vwg</v>
      </c>
      <c r="S14" s="11">
        <f t="shared" si="3"/>
        <v>944</v>
      </c>
      <c r="T14" s="11" t="str">
        <f t="shared" si="4"/>
        <v>HS-BCK-001</v>
      </c>
      <c r="U14" s="11" t="str">
        <f ca="1">IFERROR(__xludf.DUMMYFUNCTION("SINGLE(IF(ISNUMBER($P14),CONCAT(""100.82.9."",$P14,""/24""),""""))"),"#N/A")</f>
        <v>#N/A</v>
      </c>
      <c r="V14" s="11" t="str">
        <f ca="1">IFERROR(__xludf.DUMMYFUNCTION("SINGLE(IF(ISTEXT($F14),CONCAT($F14,"".stg.hs.skoda.vwg""),""""))"),"hsmbvxip009kcn.stg.hs.skoda.vwg")</f>
        <v>hsmbvxip009kcn.stg.hs.skoda.vwg</v>
      </c>
      <c r="W14" s="11">
        <f t="shared" si="5"/>
        <v>945</v>
      </c>
      <c r="X14" s="11" t="str">
        <f t="shared" si="6"/>
        <v>HS-STG-001</v>
      </c>
    </row>
    <row r="15" spans="1:24" ht="14.25" customHeight="1" x14ac:dyDescent="0.3">
      <c r="A15" s="47"/>
      <c r="B15" s="8" t="s">
        <v>19</v>
      </c>
      <c r="C15" s="8" t="s">
        <v>21</v>
      </c>
      <c r="D15" s="22" t="s">
        <v>21</v>
      </c>
      <c r="E15" s="10" t="str">
        <f t="shared" si="0"/>
        <v>HSMBVXIP010KCN</v>
      </c>
      <c r="F15" s="11" t="s">
        <v>39</v>
      </c>
      <c r="G15" s="11" t="s">
        <v>19</v>
      </c>
      <c r="H15" s="11">
        <v>4</v>
      </c>
      <c r="I15" s="11">
        <v>16</v>
      </c>
      <c r="J15" s="11" t="s">
        <v>24</v>
      </c>
      <c r="K15" s="11">
        <v>19</v>
      </c>
      <c r="L15" s="11" t="str">
        <f ca="1">IFERROR(__xludf.DUMMYFUNCTION("SINGLE(IF(ISNUMBER($K15),IF($N15=501,CONCAT(""100.80.1."",$K15,""/24""),IF(N15=502,CONCAT(""100.80.9."",$K15,""/24""),IF(N15=504,CONCAT(""100.80.25."",$K15,""/24""),""""))),""""))"),"#N/A")</f>
        <v>#N/A</v>
      </c>
      <c r="M15" s="11" t="str">
        <f ca="1">IFERROR(__xludf.DUMMYFUNCTION("SINGLE(IF(ISTEXT($F15),IF($N15=501,CONCAT($F15,"".csp01.hs.skoda.vwg""),IF(N15=502,CONCAT($F15,"".csr01.hs.skoda.vwg""),IF(N15=504,CONCAT($F15,"".adm02.hs.skoda.vwg""),""""))),""""))"),"hsmbvxip010kcn.csr01.hs.skoda.vwg")</f>
        <v>hsmbvxip010kcn.csr01.hs.skoda.vwg</v>
      </c>
      <c r="N15" s="11">
        <v>502</v>
      </c>
      <c r="O15" s="11" t="str">
        <f t="shared" si="2"/>
        <v>H-CSR01-MB-S0001</v>
      </c>
      <c r="P15" s="11">
        <v>19</v>
      </c>
      <c r="Q15" s="11" t="str">
        <f ca="1">IFERROR(__xludf.DUMMYFUNCTION("SINGLE(IF(ISNUMBER($P15),CONCAT(""100.81.9."",$P15,""/24""),""""))"),"#N/A")</f>
        <v>#N/A</v>
      </c>
      <c r="R15" s="11" t="str">
        <f ca="1">IFERROR(__xludf.DUMMYFUNCTION("SINGLE(IF(ISTEXT($F15),CONCAT($F15,"".bck.hs.skoda.vwg""),""""))"),"hsmbvxip010kcn.bck.hs.skoda.vwg")</f>
        <v>hsmbvxip010kcn.bck.hs.skoda.vwg</v>
      </c>
      <c r="S15" s="11">
        <f t="shared" si="3"/>
        <v>944</v>
      </c>
      <c r="T15" s="11" t="str">
        <f t="shared" si="4"/>
        <v>HS-BCK-001</v>
      </c>
      <c r="U15" s="11" t="str">
        <f ca="1">IFERROR(__xludf.DUMMYFUNCTION("SINGLE(IF(ISNUMBER($P15),CONCAT(""100.82.9."",$P15,""/24""),""""))"),"#N/A")</f>
        <v>#N/A</v>
      </c>
      <c r="V15" s="11" t="str">
        <f ca="1">IFERROR(__xludf.DUMMYFUNCTION("SINGLE(IF(ISTEXT($F15),CONCAT($F15,"".stg.hs.skoda.vwg""),""""))"),"hsmbvxip010kcn.stg.hs.skoda.vwg")</f>
        <v>hsmbvxip010kcn.stg.hs.skoda.vwg</v>
      </c>
      <c r="W15" s="11">
        <f t="shared" si="5"/>
        <v>945</v>
      </c>
      <c r="X15" s="11" t="str">
        <f t="shared" si="6"/>
        <v>HS-STG-001</v>
      </c>
    </row>
    <row r="16" spans="1:24" ht="14.25" customHeight="1" x14ac:dyDescent="0.3">
      <c r="A16" s="45"/>
      <c r="B16" s="8" t="s">
        <v>19</v>
      </c>
      <c r="C16" s="8" t="s">
        <v>21</v>
      </c>
      <c r="D16" s="22" t="s">
        <v>21</v>
      </c>
      <c r="E16" s="10" t="str">
        <f t="shared" si="0"/>
        <v>HSMBVXIP903KCN</v>
      </c>
      <c r="F16" s="11" t="s">
        <v>40</v>
      </c>
      <c r="G16" s="11" t="s">
        <v>19</v>
      </c>
      <c r="H16" s="11">
        <v>4</v>
      </c>
      <c r="I16" s="11">
        <v>16</v>
      </c>
      <c r="J16" s="11" t="s">
        <v>32</v>
      </c>
      <c r="K16" s="11">
        <v>20</v>
      </c>
      <c r="L16" s="11" t="str">
        <f ca="1">IFERROR(__xludf.DUMMYFUNCTION("SINGLE(IF(ISNUMBER($K16),IF($N16=501,CONCAT(""100.80.1."",$K16,""/24""),IF(N16=502,CONCAT(""100.80.9."",$K16,""/24""),IF(N16=504,CONCAT(""100.80.25."",$K16,""/24""),""""))),""""))"),"#N/A")</f>
        <v>#N/A</v>
      </c>
      <c r="M16" s="11" t="str">
        <f ca="1">IFERROR(__xludf.DUMMYFUNCTION("SINGLE(IF(ISTEXT($F16),IF($N16=501,CONCAT($F16,"".csp01.hs.skoda.vwg""),IF(N16=502,CONCAT($F16,"".csr01.hs.skoda.vwg""),IF(N16=504,CONCAT($F16,"".adm02.hs.skoda.vwg""),""""))),""""))"),"hsmbvxip903kcn.csr01.hs.skoda.vwg")</f>
        <v>hsmbvxip903kcn.csr01.hs.skoda.vwg</v>
      </c>
      <c r="N16" s="11">
        <v>502</v>
      </c>
      <c r="O16" s="11" t="str">
        <f t="shared" si="2"/>
        <v>H-CSR01-MB-S0001</v>
      </c>
      <c r="P16" s="11">
        <v>20</v>
      </c>
      <c r="Q16" s="11" t="str">
        <f ca="1">IFERROR(__xludf.DUMMYFUNCTION("SINGLE(IF(ISNUMBER($P16),CONCAT(""100.81.9."",$P16,""/24""),""""))"),"#N/A")</f>
        <v>#N/A</v>
      </c>
      <c r="R16" s="11" t="str">
        <f ca="1">IFERROR(__xludf.DUMMYFUNCTION("SINGLE(IF(ISTEXT($F16),CONCAT($F16,"".bck.hs.skoda.vwg""),""""))"),"hsmbvxip903kcn.bck.hs.skoda.vwg")</f>
        <v>hsmbvxip903kcn.bck.hs.skoda.vwg</v>
      </c>
      <c r="S16" s="11">
        <f t="shared" si="3"/>
        <v>944</v>
      </c>
      <c r="T16" s="11" t="str">
        <f t="shared" si="4"/>
        <v>HS-BCK-001</v>
      </c>
      <c r="U16" s="11" t="str">
        <f ca="1">IFERROR(__xludf.DUMMYFUNCTION("SINGLE(IF(ISNUMBER($P16),CONCAT(""100.82.9."",$P16,""/24""),""""))"),"#N/A")</f>
        <v>#N/A</v>
      </c>
      <c r="V16" s="11" t="str">
        <f ca="1">IFERROR(__xludf.DUMMYFUNCTION("SINGLE(IF(ISTEXT($F16),CONCAT($F16,"".stg.hs.skoda.vwg""),""""))"),"hsmbvxip903kcn.stg.hs.skoda.vwg")</f>
        <v>hsmbvxip903kcn.stg.hs.skoda.vwg</v>
      </c>
      <c r="W16" s="11">
        <f t="shared" si="5"/>
        <v>945</v>
      </c>
      <c r="X16" s="11" t="str">
        <f t="shared" si="6"/>
        <v>HS-STG-001</v>
      </c>
    </row>
    <row r="17" spans="1:27" ht="14.25" customHeight="1" x14ac:dyDescent="0.3">
      <c r="A17" s="56" t="s">
        <v>41</v>
      </c>
      <c r="B17" s="19" t="s">
        <v>19</v>
      </c>
      <c r="C17" s="19" t="s">
        <v>21</v>
      </c>
      <c r="D17" s="20" t="s">
        <v>21</v>
      </c>
      <c r="E17" s="21" t="str">
        <f t="shared" si="0"/>
        <v>HSMBVXIP011KWN</v>
      </c>
      <c r="F17" s="15" t="s">
        <v>42</v>
      </c>
      <c r="G17" s="15" t="s">
        <v>19</v>
      </c>
      <c r="H17" s="15">
        <v>16</v>
      </c>
      <c r="I17" s="15">
        <v>128</v>
      </c>
      <c r="J17" s="15" t="s">
        <v>22</v>
      </c>
      <c r="K17" s="15">
        <v>27</v>
      </c>
      <c r="L17" s="15" t="str">
        <f ca="1">IFERROR(__xludf.DUMMYFUNCTION("SINGLE(IF(ISNUMBER($K17),IF($N17=501,CONCAT(""100.80.1."",$K17,""/24""),IF(N17=502,CONCAT(""100.80.9."",$K17,""/24""),IF(N17=504,CONCAT(""100.80.25."",$K17,""/24""),""""))),""""))"),"#N/A")</f>
        <v>#N/A</v>
      </c>
      <c r="M17" s="15" t="str">
        <f ca="1">IFERROR(__xludf.DUMMYFUNCTION("SINGLE(IF(ISTEXT($F17),IF($N17=501,CONCAT($F17,"".csp01.hs.skoda.vwg""),IF(N17=502,CONCAT($F17,"".csr01.hs.skoda.vwg""),IF(N17=504,CONCAT($F17,"".adm02.hs.skoda.vwg""),""""))),""""))"),"hsmbvxip011kwn.csr01.hs.skoda.vwg")</f>
        <v>hsmbvxip011kwn.csr01.hs.skoda.vwg</v>
      </c>
      <c r="N17" s="15">
        <v>502</v>
      </c>
      <c r="O17" s="15" t="str">
        <f t="shared" si="2"/>
        <v>H-CSR01-MB-S0001</v>
      </c>
      <c r="P17" s="15">
        <v>27</v>
      </c>
      <c r="Q17" s="15" t="str">
        <f ca="1">IFERROR(__xludf.DUMMYFUNCTION("SINGLE(IF(ISNUMBER($P17),CONCAT(""100.81.9."",$P17,""/24""),""""))"),"#N/A")</f>
        <v>#N/A</v>
      </c>
      <c r="R17" s="15" t="str">
        <f ca="1">IFERROR(__xludf.DUMMYFUNCTION("SINGLE(IF(ISTEXT($F17),CONCAT($F17,"".bck.hs.skoda.vwg""),""""))"),"hsmbvxip011kwn.bck.hs.skoda.vwg")</f>
        <v>hsmbvxip011kwn.bck.hs.skoda.vwg</v>
      </c>
      <c r="S17" s="15">
        <f t="shared" si="3"/>
        <v>944</v>
      </c>
      <c r="T17" s="15" t="str">
        <f t="shared" si="4"/>
        <v>HS-BCK-001</v>
      </c>
      <c r="U17" s="15" t="str">
        <f ca="1">IFERROR(__xludf.DUMMYFUNCTION("SINGLE(IF(ISNUMBER($P17),CONCAT(""100.82.9."",$P17,""/24""),""""))"),"#N/A")</f>
        <v>#N/A</v>
      </c>
      <c r="V17" s="15" t="str">
        <f ca="1">IFERROR(__xludf.DUMMYFUNCTION("SINGLE(IF(ISTEXT($F17),CONCAT($F17,"".stg.hs.skoda.vwg""),""""))"),"hsmbvxip011kwn.stg.hs.skoda.vwg")</f>
        <v>hsmbvxip011kwn.stg.hs.skoda.vwg</v>
      </c>
      <c r="W17" s="15">
        <f t="shared" si="5"/>
        <v>945</v>
      </c>
      <c r="X17" s="15" t="str">
        <f t="shared" si="6"/>
        <v>HS-STG-001</v>
      </c>
    </row>
    <row r="18" spans="1:27" ht="14.25" customHeight="1" x14ac:dyDescent="0.3">
      <c r="A18" s="47"/>
      <c r="B18" s="19" t="s">
        <v>19</v>
      </c>
      <c r="C18" s="19" t="s">
        <v>21</v>
      </c>
      <c r="D18" s="20" t="s">
        <v>21</v>
      </c>
      <c r="E18" s="21" t="str">
        <f t="shared" si="0"/>
        <v>HSMBVXIP012KWN</v>
      </c>
      <c r="F18" s="15" t="s">
        <v>43</v>
      </c>
      <c r="G18" s="15" t="s">
        <v>19</v>
      </c>
      <c r="H18" s="15">
        <v>16</v>
      </c>
      <c r="I18" s="15">
        <v>128</v>
      </c>
      <c r="J18" s="15" t="s">
        <v>24</v>
      </c>
      <c r="K18" s="15">
        <v>28</v>
      </c>
      <c r="L18" s="15" t="str">
        <f ca="1">IFERROR(__xludf.DUMMYFUNCTION("SINGLE(IF(ISNUMBER($K18),IF($N18=501,CONCAT(""100.80.1."",$K18,""/24""),IF(N18=502,CONCAT(""100.80.9."",$K18,""/24""),IF(N18=504,CONCAT(""100.80.25."",$K18,""/24""),""""))),""""))"),"#N/A")</f>
        <v>#N/A</v>
      </c>
      <c r="M18" s="15" t="str">
        <f ca="1">IFERROR(__xludf.DUMMYFUNCTION("SINGLE(IF(ISTEXT($F18),IF($N18=501,CONCAT($F18,"".csp01.hs.skoda.vwg""),IF(N18=502,CONCAT($F18,"".csr01.hs.skoda.vwg""),IF(N18=504,CONCAT($F18,"".adm02.hs.skoda.vwg""),""""))),""""))"),"hsmbvxip012kwn.csr01.hs.skoda.vwg")</f>
        <v>hsmbvxip012kwn.csr01.hs.skoda.vwg</v>
      </c>
      <c r="N18" s="15">
        <v>502</v>
      </c>
      <c r="O18" s="15" t="str">
        <f t="shared" si="2"/>
        <v>H-CSR01-MB-S0001</v>
      </c>
      <c r="P18" s="15">
        <v>28</v>
      </c>
      <c r="Q18" s="15" t="str">
        <f ca="1">IFERROR(__xludf.DUMMYFUNCTION("SINGLE(IF(ISNUMBER($P18),CONCAT(""100.81.9."",$P18,""/24""),""""))"),"#N/A")</f>
        <v>#N/A</v>
      </c>
      <c r="R18" s="15" t="str">
        <f ca="1">IFERROR(__xludf.DUMMYFUNCTION("SINGLE(IF(ISTEXT($F18),CONCAT($F18,"".bck.hs.skoda.vwg""),""""))"),"hsmbvxip012kwn.bck.hs.skoda.vwg")</f>
        <v>hsmbvxip012kwn.bck.hs.skoda.vwg</v>
      </c>
      <c r="S18" s="15">
        <f t="shared" si="3"/>
        <v>944</v>
      </c>
      <c r="T18" s="15" t="str">
        <f t="shared" si="4"/>
        <v>HS-BCK-001</v>
      </c>
      <c r="U18" s="15" t="str">
        <f ca="1">IFERROR(__xludf.DUMMYFUNCTION("SINGLE(IF(ISNUMBER($P18),CONCAT(""100.82.9."",$P18,""/24""),""""))"),"#N/A")</f>
        <v>#N/A</v>
      </c>
      <c r="V18" s="15" t="str">
        <f ca="1">IFERROR(__xludf.DUMMYFUNCTION("SINGLE(IF(ISTEXT($F18),CONCAT($F18,"".stg.hs.skoda.vwg""),""""))"),"hsmbvxip012kwn.stg.hs.skoda.vwg")</f>
        <v>hsmbvxip012kwn.stg.hs.skoda.vwg</v>
      </c>
      <c r="W18" s="15">
        <f t="shared" si="5"/>
        <v>945</v>
      </c>
      <c r="X18" s="15" t="str">
        <f t="shared" si="6"/>
        <v>HS-STG-001</v>
      </c>
    </row>
    <row r="19" spans="1:27" ht="14.25" customHeight="1" x14ac:dyDescent="0.3">
      <c r="A19" s="47"/>
      <c r="B19" s="19" t="s">
        <v>19</v>
      </c>
      <c r="C19" s="19" t="s">
        <v>21</v>
      </c>
      <c r="D19" s="20" t="s">
        <v>21</v>
      </c>
      <c r="E19" s="21" t="str">
        <f t="shared" si="0"/>
        <v>HSMBVXIP013KWN</v>
      </c>
      <c r="F19" s="15" t="s">
        <v>44</v>
      </c>
      <c r="G19" s="15" t="s">
        <v>19</v>
      </c>
      <c r="H19" s="15">
        <v>16</v>
      </c>
      <c r="I19" s="15">
        <v>128</v>
      </c>
      <c r="J19" s="15" t="s">
        <v>22</v>
      </c>
      <c r="K19" s="15">
        <v>29</v>
      </c>
      <c r="L19" s="15" t="str">
        <f ca="1">IFERROR(__xludf.DUMMYFUNCTION("SINGLE(IF(ISNUMBER($K19),IF($N19=501,CONCAT(""100.80.1."",$K19,""/24""),IF(N19=502,CONCAT(""100.80.9."",$K19,""/24""),IF(N19=504,CONCAT(""100.80.25."",$K19,""/24""),""""))),""""))"),"#N/A")</f>
        <v>#N/A</v>
      </c>
      <c r="M19" s="15" t="str">
        <f ca="1">IFERROR(__xludf.DUMMYFUNCTION("SINGLE(IF(ISTEXT($F19),IF($N19=501,CONCAT($F19,"".csp01.hs.skoda.vwg""),IF(N19=502,CONCAT($F19,"".csr01.hs.skoda.vwg""),IF(N19=504,CONCAT($F19,"".adm02.hs.skoda.vwg""),""""))),""""))"),"hsmbvxip013kwn.csr01.hs.skoda.vwg")</f>
        <v>hsmbvxip013kwn.csr01.hs.skoda.vwg</v>
      </c>
      <c r="N19" s="15">
        <v>502</v>
      </c>
      <c r="O19" s="15" t="str">
        <f t="shared" si="2"/>
        <v>H-CSR01-MB-S0001</v>
      </c>
      <c r="P19" s="15">
        <v>29</v>
      </c>
      <c r="Q19" s="15" t="str">
        <f ca="1">IFERROR(__xludf.DUMMYFUNCTION("SINGLE(IF(ISNUMBER($P19),CONCAT(""100.81.9."",$P19,""/24""),""""))"),"#N/A")</f>
        <v>#N/A</v>
      </c>
      <c r="R19" s="15" t="str">
        <f ca="1">IFERROR(__xludf.DUMMYFUNCTION("SINGLE(IF(ISTEXT($F19),CONCAT($F19,"".bck.hs.skoda.vwg""),""""))"),"hsmbvxip013kwn.bck.hs.skoda.vwg")</f>
        <v>hsmbvxip013kwn.bck.hs.skoda.vwg</v>
      </c>
      <c r="S19" s="15">
        <f t="shared" si="3"/>
        <v>944</v>
      </c>
      <c r="T19" s="15" t="str">
        <f t="shared" si="4"/>
        <v>HS-BCK-001</v>
      </c>
      <c r="U19" s="15" t="str">
        <f ca="1">IFERROR(__xludf.DUMMYFUNCTION("SINGLE(IF(ISNUMBER($P19),CONCAT(""100.82.9."",$P19,""/24""),""""))"),"#N/A")</f>
        <v>#N/A</v>
      </c>
      <c r="V19" s="15" t="str">
        <f ca="1">IFERROR(__xludf.DUMMYFUNCTION("SINGLE(IF(ISTEXT($F19),CONCAT($F19,"".stg.hs.skoda.vwg""),""""))"),"hsmbvxip013kwn.stg.hs.skoda.vwg")</f>
        <v>hsmbvxip013kwn.stg.hs.skoda.vwg</v>
      </c>
      <c r="W19" s="15">
        <f t="shared" si="5"/>
        <v>945</v>
      </c>
      <c r="X19" s="15" t="str">
        <f t="shared" si="6"/>
        <v>HS-STG-001</v>
      </c>
    </row>
    <row r="20" spans="1:27" ht="14.25" customHeight="1" x14ac:dyDescent="0.3">
      <c r="A20" s="47"/>
      <c r="B20" s="19" t="s">
        <v>19</v>
      </c>
      <c r="C20" s="19" t="s">
        <v>21</v>
      </c>
      <c r="D20" s="20" t="s">
        <v>21</v>
      </c>
      <c r="E20" s="21" t="str">
        <f t="shared" si="0"/>
        <v>HSMBVXIP014KWN</v>
      </c>
      <c r="F20" s="15" t="s">
        <v>45</v>
      </c>
      <c r="G20" s="15" t="s">
        <v>19</v>
      </c>
      <c r="H20" s="15">
        <v>16</v>
      </c>
      <c r="I20" s="15">
        <v>128</v>
      </c>
      <c r="J20" s="15" t="s">
        <v>24</v>
      </c>
      <c r="K20" s="15">
        <v>30</v>
      </c>
      <c r="L20" s="15" t="str">
        <f ca="1">IFERROR(__xludf.DUMMYFUNCTION("SINGLE(IF(ISNUMBER($K20),IF($N20=501,CONCAT(""100.80.1."",$K20,""/24""),IF(N20=502,CONCAT(""100.80.9."",$K20,""/24""),IF(N20=504,CONCAT(""100.80.25."",$K20,""/24""),""""))),""""))"),"#N/A")</f>
        <v>#N/A</v>
      </c>
      <c r="M20" s="15" t="str">
        <f ca="1">IFERROR(__xludf.DUMMYFUNCTION("SINGLE(IF(ISTEXT($F20),IF($N20=501,CONCAT($F20,"".csp01.hs.skoda.vwg""),IF(N20=502,CONCAT($F20,"".csr01.hs.skoda.vwg""),IF(N20=504,CONCAT($F20,"".adm02.hs.skoda.vwg""),""""))),""""))"),"hsmbvxip014kwn.csr01.hs.skoda.vwg")</f>
        <v>hsmbvxip014kwn.csr01.hs.skoda.vwg</v>
      </c>
      <c r="N20" s="15">
        <v>502</v>
      </c>
      <c r="O20" s="15" t="str">
        <f t="shared" si="2"/>
        <v>H-CSR01-MB-S0001</v>
      </c>
      <c r="P20" s="15">
        <v>30</v>
      </c>
      <c r="Q20" s="15" t="str">
        <f ca="1">IFERROR(__xludf.DUMMYFUNCTION("SINGLE(IF(ISNUMBER($P20),CONCAT(""100.81.9."",$P20,""/24""),""""))"),"#N/A")</f>
        <v>#N/A</v>
      </c>
      <c r="R20" s="15" t="str">
        <f ca="1">IFERROR(__xludf.DUMMYFUNCTION("SINGLE(IF(ISTEXT($F20),CONCAT($F20,"".bck.hs.skoda.vwg""),""""))"),"hsmbvxip014kwn.bck.hs.skoda.vwg")</f>
        <v>hsmbvxip014kwn.bck.hs.skoda.vwg</v>
      </c>
      <c r="S20" s="15">
        <f t="shared" si="3"/>
        <v>944</v>
      </c>
      <c r="T20" s="15" t="str">
        <f t="shared" si="4"/>
        <v>HS-BCK-001</v>
      </c>
      <c r="U20" s="15" t="str">
        <f ca="1">IFERROR(__xludf.DUMMYFUNCTION("SINGLE(IF(ISNUMBER($P20),CONCAT(""100.82.9."",$P20,""/24""),""""))"),"#N/A")</f>
        <v>#N/A</v>
      </c>
      <c r="V20" s="15" t="str">
        <f ca="1">IFERROR(__xludf.DUMMYFUNCTION("SINGLE(IF(ISTEXT($F20),CONCAT($F20,"".stg.hs.skoda.vwg""),""""))"),"hsmbvxip014kwn.stg.hs.skoda.vwg")</f>
        <v>hsmbvxip014kwn.stg.hs.skoda.vwg</v>
      </c>
      <c r="W20" s="15">
        <f t="shared" si="5"/>
        <v>945</v>
      </c>
      <c r="X20" s="15" t="str">
        <f t="shared" si="6"/>
        <v>HS-STG-001</v>
      </c>
    </row>
    <row r="21" spans="1:27" ht="14.25" customHeight="1" x14ac:dyDescent="0.3">
      <c r="A21" s="47"/>
      <c r="B21" s="19" t="s">
        <v>19</v>
      </c>
      <c r="C21" s="19" t="s">
        <v>21</v>
      </c>
      <c r="D21" s="20" t="s">
        <v>21</v>
      </c>
      <c r="E21" s="21" t="str">
        <f t="shared" si="0"/>
        <v>HSMBVXIP904KWN</v>
      </c>
      <c r="F21" s="15" t="s">
        <v>46</v>
      </c>
      <c r="G21" s="15" t="s">
        <v>19</v>
      </c>
      <c r="H21" s="15">
        <v>16</v>
      </c>
      <c r="I21" s="15">
        <v>128</v>
      </c>
      <c r="J21" s="15" t="s">
        <v>32</v>
      </c>
      <c r="K21" s="15">
        <v>33</v>
      </c>
      <c r="L21" s="15" t="str">
        <f ca="1">IFERROR(__xludf.DUMMYFUNCTION("SINGLE(IF(ISNUMBER($K21),IF($N21=501,CONCAT(""100.80.1."",$K21,""/24""),IF(N21=502,CONCAT(""100.80.9."",$K21,""/24""),IF(N21=504,CONCAT(""100.80.25."",$K21,""/24""),""""))),""""))"),"#N/A")</f>
        <v>#N/A</v>
      </c>
      <c r="M21" s="15" t="str">
        <f ca="1">IFERROR(__xludf.DUMMYFUNCTION("SINGLE(IF(ISTEXT($F21),IF($N21=501,CONCAT($F21,"".csp01.hs.skoda.vwg""),IF(N21=502,CONCAT($F21,"".csr01.hs.skoda.vwg""),IF(N21=504,CONCAT($F21,"".adm02.hs.skoda.vwg""),""""))),""""))"),"hsmbvxip904kwn.csr01.hs.skoda.vwg")</f>
        <v>hsmbvxip904kwn.csr01.hs.skoda.vwg</v>
      </c>
      <c r="N21" s="15">
        <v>502</v>
      </c>
      <c r="O21" s="15" t="str">
        <f t="shared" si="2"/>
        <v>H-CSR01-MB-S0001</v>
      </c>
      <c r="P21" s="15">
        <v>33</v>
      </c>
      <c r="Q21" s="15" t="str">
        <f ca="1">IFERROR(__xludf.DUMMYFUNCTION("SINGLE(IF(ISNUMBER($P21),CONCAT(""100.81.9."",$P21,""/24""),""""))"),"#N/A")</f>
        <v>#N/A</v>
      </c>
      <c r="R21" s="15" t="str">
        <f ca="1">IFERROR(__xludf.DUMMYFUNCTION("SINGLE(IF(ISTEXT($F21),CONCAT($F21,"".bck.hs.skoda.vwg""),""""))"),"hsmbvxip904kwn.bck.hs.skoda.vwg")</f>
        <v>hsmbvxip904kwn.bck.hs.skoda.vwg</v>
      </c>
      <c r="S21" s="15">
        <f t="shared" si="3"/>
        <v>944</v>
      </c>
      <c r="T21" s="15" t="str">
        <f t="shared" si="4"/>
        <v>HS-BCK-001</v>
      </c>
      <c r="U21" s="15" t="str">
        <f ca="1">IFERROR(__xludf.DUMMYFUNCTION("SINGLE(IF(ISNUMBER($P21),CONCAT(""100.82.9."",$P21,""/24""),""""))"),"#N/A")</f>
        <v>#N/A</v>
      </c>
      <c r="V21" s="15" t="str">
        <f ca="1">IFERROR(__xludf.DUMMYFUNCTION("SINGLE(IF(ISTEXT($F21),CONCAT($F21,"".stg.hs.skoda.vwg""),""""))"),"hsmbvxip904kwn.stg.hs.skoda.vwg")</f>
        <v>hsmbvxip904kwn.stg.hs.skoda.vwg</v>
      </c>
      <c r="W21" s="15">
        <f t="shared" si="5"/>
        <v>945</v>
      </c>
      <c r="X21" s="15" t="str">
        <f t="shared" si="6"/>
        <v>HS-STG-001</v>
      </c>
    </row>
    <row r="22" spans="1:27" ht="14.25" customHeight="1" x14ac:dyDescent="0.3">
      <c r="A22" s="48" t="s">
        <v>47</v>
      </c>
      <c r="B22" s="16" t="s">
        <v>19</v>
      </c>
      <c r="C22" s="16" t="s">
        <v>21</v>
      </c>
      <c r="D22" s="22" t="s">
        <v>21</v>
      </c>
      <c r="E22" s="17" t="str">
        <f t="shared" si="0"/>
        <v>HSMBVXIP015KVN</v>
      </c>
      <c r="F22" s="11" t="s">
        <v>48</v>
      </c>
      <c r="G22" s="11" t="s">
        <v>19</v>
      </c>
      <c r="H22" s="11">
        <v>1</v>
      </c>
      <c r="I22" s="11">
        <v>2</v>
      </c>
      <c r="J22" s="11" t="s">
        <v>22</v>
      </c>
      <c r="K22" s="11">
        <v>31</v>
      </c>
      <c r="L22" s="11" t="str">
        <f ca="1">IFERROR(__xludf.DUMMYFUNCTION("SINGLE(IF(ISNUMBER($K22),IF($N22=501,CONCAT(""100.80.1."",$K22,""/24""),IF(N22=502,CONCAT(""100.80.9."",$K22,""/24""),IF(N22=504,CONCAT(""100.80.25."",$K22,""/24""),""""))),""""))"),"#N/A")</f>
        <v>#N/A</v>
      </c>
      <c r="M22" s="11" t="str">
        <f ca="1">IFERROR(__xludf.DUMMYFUNCTION("SINGLE(IF(ISTEXT($F22),IF($N22=501,CONCAT($F22,"".csp01.hs.skoda.vwg""),IF(N22=502,CONCAT($F22,"".csr01.hs.skoda.vwg""),IF(N22=504,CONCAT($F22,"".adm02.hs.skoda.vwg""),""""))),""""))"),"hsmbvxip015kvn.csr01.hs.skoda.vwg")</f>
        <v>hsmbvxip015kvn.csr01.hs.skoda.vwg</v>
      </c>
      <c r="N22" s="11">
        <v>502</v>
      </c>
      <c r="O22" s="11" t="str">
        <f t="shared" si="2"/>
        <v>H-CSR01-MB-S0001</v>
      </c>
      <c r="P22" s="11">
        <v>31</v>
      </c>
      <c r="Q22" s="11" t="str">
        <f ca="1">IFERROR(__xludf.DUMMYFUNCTION("SINGLE(IF(ISNUMBER($P22),CONCAT(""100.81.9."",$P22,""/24""),""""))"),"#N/A")</f>
        <v>#N/A</v>
      </c>
      <c r="R22" s="11" t="str">
        <f ca="1">IFERROR(__xludf.DUMMYFUNCTION("SINGLE(IF(ISTEXT($F22),CONCAT($F22,"".bck.hs.skoda.vwg""),""""))"),"hsmbvxip015kvn.bck.hs.skoda.vwg")</f>
        <v>hsmbvxip015kvn.bck.hs.skoda.vwg</v>
      </c>
      <c r="S22" s="11">
        <f t="shared" si="3"/>
        <v>944</v>
      </c>
      <c r="T22" s="11" t="str">
        <f t="shared" si="4"/>
        <v>HS-BCK-001</v>
      </c>
      <c r="U22" s="11" t="str">
        <f ca="1">IFERROR(__xludf.DUMMYFUNCTION("SINGLE(IF(ISNUMBER($P22),CONCAT(""100.82.9."",$P22,""/24""),""""))"),"#N/A")</f>
        <v>#N/A</v>
      </c>
      <c r="V22" s="11" t="str">
        <f ca="1">IFERROR(__xludf.DUMMYFUNCTION("SINGLE(IF(ISTEXT($F22),CONCAT($F22,"".stg.hs.skoda.vwg""),""""))"),"hsmbvxip015kvn.stg.hs.skoda.vwg")</f>
        <v>hsmbvxip015kvn.stg.hs.skoda.vwg</v>
      </c>
      <c r="W22" s="11">
        <f t="shared" si="5"/>
        <v>945</v>
      </c>
      <c r="X22" s="11" t="str">
        <f t="shared" si="6"/>
        <v>HS-STG-001</v>
      </c>
    </row>
    <row r="23" spans="1:27" ht="14.25" customHeight="1" x14ac:dyDescent="0.3">
      <c r="A23" s="45"/>
      <c r="B23" s="16" t="s">
        <v>19</v>
      </c>
      <c r="C23" s="16" t="s">
        <v>21</v>
      </c>
      <c r="D23" s="22" t="s">
        <v>21</v>
      </c>
      <c r="E23" s="17" t="str">
        <f t="shared" si="0"/>
        <v>HSMBVXIP016KVN</v>
      </c>
      <c r="F23" s="11" t="s">
        <v>49</v>
      </c>
      <c r="G23" s="11" t="s">
        <v>19</v>
      </c>
      <c r="H23" s="11">
        <v>1</v>
      </c>
      <c r="I23" s="11">
        <v>2</v>
      </c>
      <c r="J23" s="11" t="s">
        <v>24</v>
      </c>
      <c r="K23" s="11">
        <v>32</v>
      </c>
      <c r="L23" s="11" t="str">
        <f ca="1">IFERROR(__xludf.DUMMYFUNCTION("SINGLE(IF(ISNUMBER($K23),IF($N23=501,CONCAT(""100.80.1."",$K23,""/24""),IF(N23=502,CONCAT(""100.80.9."",$K23,""/24""),IF(N23=504,CONCAT(""100.80.25."",$K23,""/24""),""""))),""""))"),"#N/A")</f>
        <v>#N/A</v>
      </c>
      <c r="M23" s="11" t="str">
        <f ca="1">IFERROR(__xludf.DUMMYFUNCTION("SINGLE(IF(ISTEXT($F23),IF($N23=501,CONCAT($F23,"".csp01.hs.skoda.vwg""),IF(N23=502,CONCAT($F23,"".csr01.hs.skoda.vwg""),IF(N23=504,CONCAT($F23,"".adm02.hs.skoda.vwg""),""""))),""""))"),"hsmbvxip016kvn.csr01.hs.skoda.vwg")</f>
        <v>hsmbvxip016kvn.csr01.hs.skoda.vwg</v>
      </c>
      <c r="N23" s="11">
        <v>502</v>
      </c>
      <c r="O23" s="11" t="str">
        <f t="shared" si="2"/>
        <v>H-CSR01-MB-S0001</v>
      </c>
      <c r="P23" s="11">
        <v>32</v>
      </c>
      <c r="Q23" s="11" t="str">
        <f ca="1">IFERROR(__xludf.DUMMYFUNCTION("SINGLE(IF(ISNUMBER($P23),CONCAT(""100.81.9."",$P23,""/24""),""""))"),"#N/A")</f>
        <v>#N/A</v>
      </c>
      <c r="R23" s="11" t="str">
        <f ca="1">IFERROR(__xludf.DUMMYFUNCTION("SINGLE(IF(ISTEXT($F23),CONCAT($F23,"".bck.hs.skoda.vwg""),""""))"),"hsmbvxip016kvn.bck.hs.skoda.vwg")</f>
        <v>hsmbvxip016kvn.bck.hs.skoda.vwg</v>
      </c>
      <c r="S23" s="11">
        <f t="shared" si="3"/>
        <v>944</v>
      </c>
      <c r="T23" s="11" t="str">
        <f t="shared" si="4"/>
        <v>HS-BCK-001</v>
      </c>
      <c r="U23" s="11" t="str">
        <f ca="1">IFERROR(__xludf.DUMMYFUNCTION("SINGLE(IF(ISNUMBER($P23),CONCAT(""100.82.9."",$P23,""/24""),""""))"),"#N/A")</f>
        <v>#N/A</v>
      </c>
      <c r="V23" s="11" t="str">
        <f ca="1">IFERROR(__xludf.DUMMYFUNCTION("SINGLE(IF(ISTEXT($F23),CONCAT($F23,"".stg.hs.skoda.vwg""),""""))"),"hsmbvxip016kvn.stg.hs.skoda.vwg")</f>
        <v>hsmbvxip016kvn.stg.hs.skoda.vwg</v>
      </c>
      <c r="W23" s="11">
        <f t="shared" si="5"/>
        <v>945</v>
      </c>
      <c r="X23" s="11" t="str">
        <f t="shared" si="6"/>
        <v>HS-STG-001</v>
      </c>
    </row>
    <row r="24" spans="1:27" ht="14.25" customHeight="1" x14ac:dyDescent="0.3">
      <c r="A24" s="56" t="s">
        <v>50</v>
      </c>
      <c r="B24" s="19" t="s">
        <v>19</v>
      </c>
      <c r="C24" s="19" t="s">
        <v>19</v>
      </c>
      <c r="D24" s="23" t="s">
        <v>19</v>
      </c>
      <c r="E24" s="21" t="str">
        <f t="shared" si="0"/>
        <v>HSMBVXIP017NS</v>
      </c>
      <c r="F24" s="15" t="s">
        <v>51</v>
      </c>
      <c r="G24" s="15" t="s">
        <v>19</v>
      </c>
      <c r="H24" s="15">
        <v>2</v>
      </c>
      <c r="I24" s="15">
        <v>8</v>
      </c>
      <c r="J24" s="15" t="s">
        <v>22</v>
      </c>
      <c r="K24" s="15">
        <v>14</v>
      </c>
      <c r="L24" s="15" t="str">
        <f ca="1">IFERROR(__xludf.DUMMYFUNCTION("SINGLE(IF(ISNUMBER($K24),IF($N24=501,CONCAT(""100.80.1."",$K24,""/24""),IF(N24=502,CONCAT(""100.80.9."",$K24,""/24""),IF(N24=504,CONCAT(""100.80.25."",$K24,""/24""),""""))),""""))"),"#N/A")</f>
        <v>#N/A</v>
      </c>
      <c r="M24" s="15" t="str">
        <f ca="1">IFERROR(__xludf.DUMMYFUNCTION("SINGLE(IF(ISTEXT($F24),IF($N24=501,CONCAT($F24,"".csp01.hs.skoda.vwg""),IF(N24=502,CONCAT($F24,"".csr01.hs.skoda.vwg""),IF(N24=504,CONCAT($F24,"".adm02.hs.skoda.vwg""),""""))),""""))"),"hsmbvxip017ns.csp01.hs.skoda.vwg")</f>
        <v>hsmbvxip017ns.csp01.hs.skoda.vwg</v>
      </c>
      <c r="N24" s="15">
        <v>501</v>
      </c>
      <c r="O24" s="15" t="str">
        <f t="shared" si="2"/>
        <v>H-CSP01-MB-S0001</v>
      </c>
      <c r="P24" s="15">
        <v>154</v>
      </c>
      <c r="Q24" s="15" t="str">
        <f ca="1">IFERROR(__xludf.DUMMYFUNCTION("SINGLE(IF(ISNUMBER($P24),CONCAT(""100.81.9."",$P24,""/24""),""""))"),"#N/A")</f>
        <v>#N/A</v>
      </c>
      <c r="R24" s="15" t="str">
        <f ca="1">IFERROR(__xludf.DUMMYFUNCTION("SINGLE(IF(ISTEXT($F24),CONCAT($F24,"".bck.hs.skoda.vwg""),""""))"),"hsmbvxip017ns.bck.hs.skoda.vwg")</f>
        <v>hsmbvxip017ns.bck.hs.skoda.vwg</v>
      </c>
      <c r="S24" s="15">
        <f t="shared" si="3"/>
        <v>944</v>
      </c>
      <c r="T24" s="15" t="str">
        <f t="shared" si="4"/>
        <v>HS-BCK-001</v>
      </c>
      <c r="U24" s="15" t="str">
        <f ca="1">IFERROR(__xludf.DUMMYFUNCTION("SINGLE(IF(ISNUMBER($P24),CONCAT(""100.82.9."",$P24,""/24""),""""))"),"#N/A")</f>
        <v>#N/A</v>
      </c>
      <c r="V24" s="15" t="str">
        <f ca="1">IFERROR(__xludf.DUMMYFUNCTION("SINGLE(IF(ISTEXT($F24),CONCAT($F24,"".stg.hs.skoda.vwg""),""""))"),"hsmbvxip017ns.stg.hs.skoda.vwg")</f>
        <v>hsmbvxip017ns.stg.hs.skoda.vwg</v>
      </c>
      <c r="W24" s="15">
        <f t="shared" si="5"/>
        <v>945</v>
      </c>
      <c r="X24" s="15" t="str">
        <f t="shared" si="6"/>
        <v>HS-STG-001</v>
      </c>
    </row>
    <row r="25" spans="1:27" ht="14.25" customHeight="1" x14ac:dyDescent="0.3">
      <c r="A25" s="47"/>
      <c r="B25" s="19" t="s">
        <v>19</v>
      </c>
      <c r="C25" s="19" t="s">
        <v>19</v>
      </c>
      <c r="D25" s="23" t="s">
        <v>19</v>
      </c>
      <c r="E25" s="21" t="str">
        <f t="shared" si="0"/>
        <v>HSMBVXIP018NS</v>
      </c>
      <c r="F25" s="15" t="s">
        <v>52</v>
      </c>
      <c r="G25" s="15" t="s">
        <v>19</v>
      </c>
      <c r="H25" s="15">
        <v>2</v>
      </c>
      <c r="I25" s="15">
        <v>8</v>
      </c>
      <c r="J25" s="15" t="s">
        <v>24</v>
      </c>
      <c r="K25" s="15">
        <v>15</v>
      </c>
      <c r="L25" s="15" t="str">
        <f ca="1">IFERROR(__xludf.DUMMYFUNCTION("SINGLE(IF(ISNUMBER($K25),IF($N25=501,CONCAT(""100.80.1."",$K25,""/24""),IF(N25=502,CONCAT(""100.80.9."",$K25,""/24""),IF(N25=504,CONCAT(""100.80.25."",$K25,""/24""),""""))),""""))"),"#N/A")</f>
        <v>#N/A</v>
      </c>
      <c r="M25" s="15" t="str">
        <f ca="1">IFERROR(__xludf.DUMMYFUNCTION("SINGLE(IF(ISTEXT($F25),IF($N25=501,CONCAT($F25,"".csp01.hs.skoda.vwg""),IF(N25=502,CONCAT($F25,"".csr01.hs.skoda.vwg""),IF(N25=504,CONCAT($F25,"".adm02.hs.skoda.vwg""),""""))),""""))"),"hsmbvxip018ns.csp01.hs.skoda.vwg")</f>
        <v>hsmbvxip018ns.csp01.hs.skoda.vwg</v>
      </c>
      <c r="N25" s="15">
        <v>501</v>
      </c>
      <c r="O25" s="15" t="str">
        <f t="shared" si="2"/>
        <v>H-CSP01-MB-S0001</v>
      </c>
      <c r="P25" s="15">
        <v>155</v>
      </c>
      <c r="Q25" s="15" t="str">
        <f ca="1">IFERROR(__xludf.DUMMYFUNCTION("SINGLE(IF(ISNUMBER($P25),CONCAT(""100.81.9."",$P25,""/24""),""""))"),"#N/A")</f>
        <v>#N/A</v>
      </c>
      <c r="R25" s="15" t="str">
        <f ca="1">IFERROR(__xludf.DUMMYFUNCTION("SINGLE(IF(ISTEXT($F25),CONCAT($F25,"".bck.hs.skoda.vwg""),""""))"),"hsmbvxip018ns.bck.hs.skoda.vwg")</f>
        <v>hsmbvxip018ns.bck.hs.skoda.vwg</v>
      </c>
      <c r="S25" s="15">
        <f t="shared" si="3"/>
        <v>944</v>
      </c>
      <c r="T25" s="15" t="str">
        <f t="shared" si="4"/>
        <v>HS-BCK-001</v>
      </c>
      <c r="U25" s="15" t="str">
        <f ca="1">IFERROR(__xludf.DUMMYFUNCTION("SINGLE(IF(ISNUMBER($P25),CONCAT(""100.82.9."",$P25,""/24""),""""))"),"#N/A")</f>
        <v>#N/A</v>
      </c>
      <c r="V25" s="15" t="str">
        <f ca="1">IFERROR(__xludf.DUMMYFUNCTION("SINGLE(IF(ISTEXT($F25),CONCAT($F25,"".stg.hs.skoda.vwg""),""""))"),"hsmbvxip018ns.stg.hs.skoda.vwg")</f>
        <v>hsmbvxip018ns.stg.hs.skoda.vwg</v>
      </c>
      <c r="W25" s="15">
        <f t="shared" si="5"/>
        <v>945</v>
      </c>
      <c r="X25" s="15" t="str">
        <f t="shared" si="6"/>
        <v>HS-STG-001</v>
      </c>
    </row>
    <row r="26" spans="1:27" ht="14.25" customHeight="1" x14ac:dyDescent="0.3">
      <c r="A26" s="48" t="s">
        <v>53</v>
      </c>
      <c r="B26" s="16" t="s">
        <v>19</v>
      </c>
      <c r="C26" s="16" t="s">
        <v>19</v>
      </c>
      <c r="D26" s="9" t="s">
        <v>19</v>
      </c>
      <c r="E26" s="17" t="str">
        <f t="shared" si="0"/>
        <v>HSMBVXIP019PDB</v>
      </c>
      <c r="F26" s="11" t="s">
        <v>54</v>
      </c>
      <c r="G26" s="11" t="s">
        <v>19</v>
      </c>
      <c r="H26" s="24">
        <v>4</v>
      </c>
      <c r="I26" s="24">
        <v>16</v>
      </c>
      <c r="J26" s="11" t="s">
        <v>22</v>
      </c>
      <c r="K26" s="11">
        <v>34</v>
      </c>
      <c r="L26" s="11" t="str">
        <f ca="1">IFERROR(__xludf.DUMMYFUNCTION("SINGLE(IF(ISNUMBER($K26),IF($N26=501,CONCAT(""100.80.1."",$K26,""/24""),IF(N26=502,CONCAT(""100.80.9."",$K26,""/24""),IF(N26=504,CONCAT(""100.80.25."",$K26,""/24""),""""))),""""))"),"#N/A")</f>
        <v>#N/A</v>
      </c>
      <c r="M26" s="11" t="str">
        <f ca="1">IFERROR(__xludf.DUMMYFUNCTION("SINGLE(IF(ISTEXT($F26),IF($N26=501,CONCAT($F26,"".csp01.hs.skoda.vwg""),IF(N26=502,CONCAT($F26,"".csr01.hs.skoda.vwg""),IF(N26=504,CONCAT($F26,"".adm02.hs.skoda.vwg""),""""))),""""))"),"hsmbvxip019pdb.csr01.hs.skoda.vwg")</f>
        <v>hsmbvxip019pdb.csr01.hs.skoda.vwg</v>
      </c>
      <c r="N26" s="11">
        <v>502</v>
      </c>
      <c r="O26" s="11" t="str">
        <f t="shared" si="2"/>
        <v>H-CSR01-MB-S0001</v>
      </c>
      <c r="P26" s="11">
        <v>34</v>
      </c>
      <c r="Q26" s="11" t="str">
        <f ca="1">IFERROR(__xludf.DUMMYFUNCTION("SINGLE(IF(ISNUMBER($P26),CONCAT(""100.81.9."",$P26,""/24""),""""))"),"#N/A")</f>
        <v>#N/A</v>
      </c>
      <c r="R26" s="11" t="str">
        <f ca="1">IFERROR(__xludf.DUMMYFUNCTION("SINGLE(IF(ISTEXT($F26),CONCAT($F26,"".bck.hs.skoda.vwg""),""""))"),"hsmbvxip019pdb.bck.hs.skoda.vwg")</f>
        <v>hsmbvxip019pdb.bck.hs.skoda.vwg</v>
      </c>
      <c r="S26" s="11">
        <f t="shared" si="3"/>
        <v>944</v>
      </c>
      <c r="T26" s="11" t="str">
        <f t="shared" si="4"/>
        <v>HS-BCK-001</v>
      </c>
      <c r="U26" s="11" t="str">
        <f ca="1">IFERROR(__xludf.DUMMYFUNCTION("SINGLE(IF(ISNUMBER($P26),CONCAT(""100.82.9."",$P26,""/24""),""""))"),"#N/A")</f>
        <v>#N/A</v>
      </c>
      <c r="V26" s="11" t="str">
        <f ca="1">IFERROR(__xludf.DUMMYFUNCTION("SINGLE(IF(ISTEXT($F26),CONCAT($F26,"".stg.hs.skoda.vwg""),""""))"),"hsmbvxip019pdb.stg.hs.skoda.vwg")</f>
        <v>hsmbvxip019pdb.stg.hs.skoda.vwg</v>
      </c>
      <c r="W26" s="11">
        <f t="shared" si="5"/>
        <v>945</v>
      </c>
      <c r="X26" s="11" t="str">
        <f t="shared" si="6"/>
        <v>HS-STG-001</v>
      </c>
    </row>
    <row r="27" spans="1:27" ht="14.25" customHeight="1" x14ac:dyDescent="0.3">
      <c r="A27" s="47"/>
      <c r="B27" s="16" t="s">
        <v>19</v>
      </c>
      <c r="C27" s="16" t="s">
        <v>19</v>
      </c>
      <c r="D27" s="9" t="s">
        <v>19</v>
      </c>
      <c r="E27" s="17" t="str">
        <f t="shared" si="0"/>
        <v>HSMBVXIP020PDB</v>
      </c>
      <c r="F27" s="11" t="s">
        <v>55</v>
      </c>
      <c r="G27" s="11" t="s">
        <v>19</v>
      </c>
      <c r="H27" s="24">
        <v>4</v>
      </c>
      <c r="I27" s="24">
        <v>16</v>
      </c>
      <c r="J27" s="11" t="s">
        <v>24</v>
      </c>
      <c r="K27" s="11">
        <v>35</v>
      </c>
      <c r="L27" s="11" t="str">
        <f ca="1">IFERROR(__xludf.DUMMYFUNCTION("SINGLE(IF(ISNUMBER($K27),IF($N27=501,CONCAT(""100.80.1."",$K27,""/24""),IF(N27=502,CONCAT(""100.80.9."",$K27,""/24""),IF(N27=504,CONCAT(""100.80.25."",$K27,""/24""),""""))),""""))"),"#N/A")</f>
        <v>#N/A</v>
      </c>
      <c r="M27" s="11" t="str">
        <f ca="1">IFERROR(__xludf.DUMMYFUNCTION("SINGLE(IF(ISTEXT($F27),IF($N27=501,CONCAT($F27,"".csp01.hs.skoda.vwg""),IF(N27=502,CONCAT($F27,"".csr01.hs.skoda.vwg""),IF(N27=504,CONCAT($F27,"".adm02.hs.skoda.vwg""),""""))),""""))"),"hsmbvxip020pdb.csr01.hs.skoda.vwg")</f>
        <v>hsmbvxip020pdb.csr01.hs.skoda.vwg</v>
      </c>
      <c r="N27" s="11">
        <v>502</v>
      </c>
      <c r="O27" s="11" t="str">
        <f t="shared" si="2"/>
        <v>H-CSR01-MB-S0001</v>
      </c>
      <c r="P27" s="11">
        <v>35</v>
      </c>
      <c r="Q27" s="11" t="str">
        <f ca="1">IFERROR(__xludf.DUMMYFUNCTION("SINGLE(IF(ISNUMBER($P27),CONCAT(""100.81.9."",$P27,""/24""),""""))"),"#N/A")</f>
        <v>#N/A</v>
      </c>
      <c r="R27" s="11" t="str">
        <f ca="1">IFERROR(__xludf.DUMMYFUNCTION("SINGLE(IF(ISTEXT($F27),CONCAT($F27,"".bck.hs.skoda.vwg""),""""))"),"hsmbvxip020pdb.bck.hs.skoda.vwg")</f>
        <v>hsmbvxip020pdb.bck.hs.skoda.vwg</v>
      </c>
      <c r="S27" s="11">
        <f t="shared" si="3"/>
        <v>944</v>
      </c>
      <c r="T27" s="11" t="str">
        <f t="shared" si="4"/>
        <v>HS-BCK-001</v>
      </c>
      <c r="U27" s="11" t="str">
        <f ca="1">IFERROR(__xludf.DUMMYFUNCTION("SINGLE(IF(ISNUMBER($P27),CONCAT(""100.82.9."",$P27,""/24""),""""))"),"#N/A")</f>
        <v>#N/A</v>
      </c>
      <c r="V27" s="11" t="str">
        <f ca="1">IFERROR(__xludf.DUMMYFUNCTION("SINGLE(IF(ISTEXT($F27),CONCAT($F27,"".stg.hs.skoda.vwg""),""""))"),"hsmbvxip020pdb.stg.hs.skoda.vwg")</f>
        <v>hsmbvxip020pdb.stg.hs.skoda.vwg</v>
      </c>
      <c r="W27" s="11">
        <f t="shared" si="5"/>
        <v>945</v>
      </c>
      <c r="X27" s="11" t="str">
        <f t="shared" si="6"/>
        <v>HS-STG-001</v>
      </c>
    </row>
    <row r="28" spans="1:27" ht="14.25" customHeight="1" x14ac:dyDescent="0.3">
      <c r="A28" s="45"/>
      <c r="B28" s="16" t="s">
        <v>19</v>
      </c>
      <c r="C28" s="16" t="s">
        <v>21</v>
      </c>
      <c r="D28" s="22" t="s">
        <v>21</v>
      </c>
      <c r="E28" s="17" t="str">
        <f t="shared" si="0"/>
        <v>HSMBVXIP905PDB</v>
      </c>
      <c r="F28" s="11" t="s">
        <v>56</v>
      </c>
      <c r="G28" s="11" t="s">
        <v>19</v>
      </c>
      <c r="H28" s="24">
        <v>4</v>
      </c>
      <c r="I28" s="24">
        <v>16</v>
      </c>
      <c r="J28" s="11" t="s">
        <v>32</v>
      </c>
      <c r="K28" s="11">
        <v>36</v>
      </c>
      <c r="L28" s="11" t="str">
        <f ca="1">IFERROR(__xludf.DUMMYFUNCTION("SINGLE(IF(ISNUMBER($K28),IF($N28=501,CONCAT(""100.80.1."",$K28,""/24""),IF(N28=502,CONCAT(""100.80.9."",$K28,""/24""),IF(N28=504,CONCAT(""100.80.25."",$K28,""/24""),""""))),""""))"),"#N/A")</f>
        <v>#N/A</v>
      </c>
      <c r="M28" s="11" t="str">
        <f ca="1">IFERROR(__xludf.DUMMYFUNCTION("SINGLE(IF(ISTEXT($F28),IF($N28=501,CONCAT($F28,"".csp01.hs.skoda.vwg""),IF(N28=502,CONCAT($F28,"".csr01.hs.skoda.vwg""),IF(N28=504,CONCAT($F28,"".adm02.hs.skoda.vwg""),""""))),""""))"),"hsmbvxip905pdb.csr01.hs.skoda.vwg")</f>
        <v>hsmbvxip905pdb.csr01.hs.skoda.vwg</v>
      </c>
      <c r="N28" s="11">
        <v>502</v>
      </c>
      <c r="O28" s="11" t="str">
        <f t="shared" si="2"/>
        <v>H-CSR01-MB-S0001</v>
      </c>
      <c r="P28" s="11">
        <v>36</v>
      </c>
      <c r="Q28" s="11" t="str">
        <f ca="1">IFERROR(__xludf.DUMMYFUNCTION("SINGLE(IF(ISNUMBER($P28),CONCAT(""100.81.9."",$P28,""/24""),""""))"),"#N/A")</f>
        <v>#N/A</v>
      </c>
      <c r="R28" s="11" t="str">
        <f ca="1">IFERROR(__xludf.DUMMYFUNCTION("SINGLE(IF(ISTEXT($F28),CONCAT($F28,"".bck.hs.skoda.vwg""),""""))"),"hsmbvxip905pdb.bck.hs.skoda.vwg")</f>
        <v>hsmbvxip905pdb.bck.hs.skoda.vwg</v>
      </c>
      <c r="S28" s="11">
        <f t="shared" si="3"/>
        <v>944</v>
      </c>
      <c r="T28" s="11" t="str">
        <f t="shared" si="4"/>
        <v>HS-BCK-001</v>
      </c>
      <c r="U28" s="11" t="str">
        <f ca="1">IFERROR(__xludf.DUMMYFUNCTION("SINGLE(IF(ISNUMBER($P28),CONCAT(""100.82.9."",$P28,""/24""),""""))"),"#N/A")</f>
        <v>#N/A</v>
      </c>
      <c r="V28" s="11" t="str">
        <f ca="1">IFERROR(__xludf.DUMMYFUNCTION("SINGLE(IF(ISTEXT($F28),CONCAT($F28,"".stg.hs.skoda.vwg""),""""))"),"hsmbvxip905pdb.stg.hs.skoda.vwg")</f>
        <v>hsmbvxip905pdb.stg.hs.skoda.vwg</v>
      </c>
      <c r="W28" s="11">
        <f t="shared" si="5"/>
        <v>945</v>
      </c>
      <c r="X28" s="11" t="str">
        <f t="shared" si="6"/>
        <v>HS-STG-001</v>
      </c>
    </row>
    <row r="29" spans="1:27" ht="14.25" customHeight="1" x14ac:dyDescent="0.3">
      <c r="A29" s="18" t="s">
        <v>57</v>
      </c>
      <c r="B29" s="19" t="s">
        <v>19</v>
      </c>
      <c r="C29" s="19" t="s">
        <v>19</v>
      </c>
      <c r="D29" s="23" t="s">
        <v>19</v>
      </c>
      <c r="E29" s="25" t="str">
        <f t="shared" si="0"/>
        <v>HSMBVXIP021MGT</v>
      </c>
      <c r="F29" s="15" t="s">
        <v>58</v>
      </c>
      <c r="G29" s="15" t="s">
        <v>19</v>
      </c>
      <c r="H29" s="15">
        <v>4</v>
      </c>
      <c r="I29" s="15">
        <v>16</v>
      </c>
      <c r="J29" s="15" t="s">
        <v>22</v>
      </c>
      <c r="K29" s="15">
        <v>37</v>
      </c>
      <c r="L29" s="15" t="str">
        <f ca="1">IFERROR(__xludf.DUMMYFUNCTION("SINGLE(IF(ISNUMBER($K29),IF($N29=501,CONCAT(""100.80.1."",$K29,""/24""),IF(N29=502,CONCAT(""100.80.9."",$K29,""/24""),IF(N29=504,CONCAT(""100.80.25."",$K29,""/24""),""""))),""""))"),"#N/A")</f>
        <v>#N/A</v>
      </c>
      <c r="M29" s="15" t="str">
        <f ca="1">IFERROR(__xludf.DUMMYFUNCTION("SINGLE(IF(ISTEXT($F29),IF($N29=501,CONCAT($F29,"".csp01.hs.skoda.vwg""),IF(N29=502,CONCAT($F29,"".csr01.hs.skoda.vwg""),IF(N29=504,CONCAT($F29,"".adm02.hs.skoda.vwg""),""""))),""""))"),"hsmbvxip021mgt.csr01.hs.skoda.vwg")</f>
        <v>hsmbvxip021mgt.csr01.hs.skoda.vwg</v>
      </c>
      <c r="N29" s="15">
        <v>502</v>
      </c>
      <c r="O29" s="15" t="str">
        <f t="shared" si="2"/>
        <v>H-CSR01-MB-S0001</v>
      </c>
      <c r="P29" s="15">
        <v>37</v>
      </c>
      <c r="Q29" s="15" t="str">
        <f ca="1">IFERROR(__xludf.DUMMYFUNCTION("SINGLE(IF(ISNUMBER($P29),CONCAT(""100.81.9."",$P29,""/24""),""""))"),"#N/A")</f>
        <v>#N/A</v>
      </c>
      <c r="R29" s="15" t="str">
        <f ca="1">IFERROR(__xludf.DUMMYFUNCTION("SINGLE(IF(ISTEXT($F29),CONCAT($F29,"".bck.hs.skoda.vwg""),""""))"),"hsmbvxip021mgt.bck.hs.skoda.vwg")</f>
        <v>hsmbvxip021mgt.bck.hs.skoda.vwg</v>
      </c>
      <c r="S29" s="15">
        <f t="shared" si="3"/>
        <v>944</v>
      </c>
      <c r="T29" s="15" t="str">
        <f t="shared" si="4"/>
        <v>HS-BCK-001</v>
      </c>
      <c r="U29" s="15" t="str">
        <f ca="1">IFERROR(__xludf.DUMMYFUNCTION("SINGLE(IF(ISNUMBER($P29),CONCAT(""100.82.9."",$P29,""/24""),""""))"),"#N/A")</f>
        <v>#N/A</v>
      </c>
      <c r="V29" s="15" t="str">
        <f ca="1">IFERROR(__xludf.DUMMYFUNCTION("SINGLE(IF(ISTEXT($F29),CONCAT($F29,"".stg.hs.skoda.vwg""),""""))"),"hsmbvxip021mgt.stg.hs.skoda.vwg")</f>
        <v>hsmbvxip021mgt.stg.hs.skoda.vwg</v>
      </c>
      <c r="W29" s="15">
        <f t="shared" si="5"/>
        <v>945</v>
      </c>
      <c r="X29" s="15" t="str">
        <f t="shared" si="6"/>
        <v>HS-STG-001</v>
      </c>
    </row>
    <row r="30" spans="1:27" ht="14.25" customHeight="1" x14ac:dyDescent="0.3">
      <c r="A30" s="26" t="s">
        <v>59</v>
      </c>
      <c r="B30" s="16" t="s">
        <v>19</v>
      </c>
      <c r="C30" s="16" t="s">
        <v>19</v>
      </c>
      <c r="D30" s="9" t="s">
        <v>19</v>
      </c>
      <c r="E30" s="27" t="str">
        <f t="shared" si="0"/>
        <v>HSMBVXIP022GIT</v>
      </c>
      <c r="F30" s="11" t="s">
        <v>60</v>
      </c>
      <c r="G30" s="11" t="s">
        <v>19</v>
      </c>
      <c r="H30" s="11">
        <v>8</v>
      </c>
      <c r="I30" s="11">
        <v>16</v>
      </c>
      <c r="J30" s="11" t="s">
        <v>24</v>
      </c>
      <c r="K30" s="11">
        <v>38</v>
      </c>
      <c r="L30" s="11" t="str">
        <f ca="1">IFERROR(__xludf.DUMMYFUNCTION("SINGLE(IF(ISNUMBER($K30),IF($N30=501,CONCAT(""100.80.1."",$K30,""/24""),IF(N30=502,CONCAT(""100.80.9."",$K30,""/24""),IF(N30=504,CONCAT(""100.80.25."",$K30,""/24""),""""))),""""))"),"#N/A")</f>
        <v>#N/A</v>
      </c>
      <c r="M30" s="11" t="str">
        <f ca="1">IFERROR(__xludf.DUMMYFUNCTION("SINGLE(IF(ISTEXT($F30),IF($N30=501,CONCAT($F30,"".csp01.hs.skoda.vwg""),IF(N30=502,CONCAT($F30,"".csr01.hs.skoda.vwg""),IF(N30=504,CONCAT($F30,"".adm02.hs.skoda.vwg""),""""))),""""))"),"hsmbvxip022git.csr01.hs.skoda.vwg")</f>
        <v>hsmbvxip022git.csr01.hs.skoda.vwg</v>
      </c>
      <c r="N30" s="11">
        <v>502</v>
      </c>
      <c r="O30" s="11" t="str">
        <f t="shared" si="2"/>
        <v>H-CSR01-MB-S0001</v>
      </c>
      <c r="P30" s="11">
        <v>38</v>
      </c>
      <c r="Q30" s="11" t="str">
        <f ca="1">IFERROR(__xludf.DUMMYFUNCTION("SINGLE(IF(ISNUMBER($P30),CONCAT(""100.81.9."",$P30,""/24""),""""))"),"#N/A")</f>
        <v>#N/A</v>
      </c>
      <c r="R30" s="11" t="str">
        <f ca="1">IFERROR(__xludf.DUMMYFUNCTION("SINGLE(IF(ISTEXT($F30),CONCAT($F30,"".bck.hs.skoda.vwg""),""""))"),"hsmbvxip022git.bck.hs.skoda.vwg")</f>
        <v>hsmbvxip022git.bck.hs.skoda.vwg</v>
      </c>
      <c r="S30" s="11">
        <f t="shared" si="3"/>
        <v>944</v>
      </c>
      <c r="T30" s="11" t="str">
        <f t="shared" si="4"/>
        <v>HS-BCK-001</v>
      </c>
      <c r="U30" s="11" t="str">
        <f ca="1">IFERROR(__xludf.DUMMYFUNCTION("SINGLE(IF(ISNUMBER($P30),CONCAT(""100.82.9."",$P30,""/24""),""""))"),"#N/A")</f>
        <v>#N/A</v>
      </c>
      <c r="V30" s="11" t="str">
        <f ca="1">IFERROR(__xludf.DUMMYFUNCTION("SINGLE(IF(ISTEXT($F30),CONCAT($F30,"".stg.hs.skoda.vwg""),""""))"),"hsmbvxip022git.stg.hs.skoda.vwg")</f>
        <v>hsmbvxip022git.stg.hs.skoda.vwg</v>
      </c>
      <c r="W30" s="11">
        <f t="shared" si="5"/>
        <v>945</v>
      </c>
      <c r="X30" s="11" t="str">
        <f t="shared" si="6"/>
        <v>HS-STG-001</v>
      </c>
    </row>
    <row r="31" spans="1:27" ht="14.25" customHeight="1" x14ac:dyDescent="0.3">
      <c r="A31" s="18" t="s">
        <v>61</v>
      </c>
      <c r="B31" s="19" t="s">
        <v>19</v>
      </c>
      <c r="C31" s="19" t="s">
        <v>19</v>
      </c>
      <c r="D31" s="23" t="s">
        <v>19</v>
      </c>
      <c r="E31" s="25" t="str">
        <f t="shared" si="0"/>
        <v>HSMBVXIP023ZAB</v>
      </c>
      <c r="F31" s="15" t="s">
        <v>62</v>
      </c>
      <c r="G31" s="15" t="s">
        <v>19</v>
      </c>
      <c r="H31" s="15">
        <v>4</v>
      </c>
      <c r="I31" s="15">
        <v>8</v>
      </c>
      <c r="J31" s="15" t="s">
        <v>22</v>
      </c>
      <c r="K31" s="15">
        <v>16</v>
      </c>
      <c r="L31" s="15" t="str">
        <f ca="1">IFERROR(__xludf.DUMMYFUNCTION("SINGLE(IF(ISNUMBER($K31),IF($N31=501,CONCAT(""100.80.1."",$K31,""/24""),IF(N31=502,CONCAT(""100.80.9."",$K31,""/24""),IF(N31=504,CONCAT(""100.80.25."",$K31,""/24""),""""))),""""))"),"#N/A")</f>
        <v>#N/A</v>
      </c>
      <c r="M31" s="15" t="str">
        <f ca="1">IFERROR(__xludf.DUMMYFUNCTION("SINGLE(IF(ISTEXT($F31),IF($N31=501,CONCAT($F31,"".csp01.hs.skoda.vwg""),IF(N31=502,CONCAT($F31,"".csr01.hs.skoda.vwg""),IF(N31=504,CONCAT($F31,"".adm02.hs.skoda.vwg""),""""))),""""))"),"hsmbvxip023zab.csp01.hs.skoda.vwg")</f>
        <v>hsmbvxip023zab.csp01.hs.skoda.vwg</v>
      </c>
      <c r="N31" s="15">
        <v>501</v>
      </c>
      <c r="O31" s="15" t="str">
        <f t="shared" si="2"/>
        <v>H-CSP01-MB-S0001</v>
      </c>
      <c r="P31" s="15">
        <v>156</v>
      </c>
      <c r="Q31" s="15" t="str">
        <f ca="1">IFERROR(__xludf.DUMMYFUNCTION("SINGLE(IF(ISNUMBER($P31),CONCAT(""100.81.9."",$P31,""/24""),""""))"),"#N/A")</f>
        <v>#N/A</v>
      </c>
      <c r="R31" s="15" t="str">
        <f ca="1">IFERROR(__xludf.DUMMYFUNCTION("SINGLE(IF(ISTEXT($F31),CONCAT($F31,"".bck.hs.skoda.vwg""),""""))"),"hsmbvxip023zab.bck.hs.skoda.vwg")</f>
        <v>hsmbvxip023zab.bck.hs.skoda.vwg</v>
      </c>
      <c r="S31" s="15">
        <f t="shared" si="3"/>
        <v>944</v>
      </c>
      <c r="T31" s="15" t="str">
        <f t="shared" si="4"/>
        <v>HS-BCK-001</v>
      </c>
      <c r="U31" s="15" t="str">
        <f ca="1">IFERROR(__xludf.DUMMYFUNCTION("SINGLE(IF(ISNUMBER($P31),CONCAT(""100.82.9."",$P31,""/24""),""""))"),"#N/A")</f>
        <v>#N/A</v>
      </c>
      <c r="V31" s="15" t="str">
        <f ca="1">IFERROR(__xludf.DUMMYFUNCTION("SINGLE(IF(ISTEXT($F31),CONCAT($F31,"".stg.hs.skoda.vwg""),""""))"),"hsmbvxip023zab.stg.hs.skoda.vwg")</f>
        <v>hsmbvxip023zab.stg.hs.skoda.vwg</v>
      </c>
      <c r="W31" s="15">
        <f t="shared" si="5"/>
        <v>945</v>
      </c>
      <c r="X31" s="15" t="str">
        <f t="shared" si="6"/>
        <v>HS-STG-001</v>
      </c>
    </row>
    <row r="32" spans="1:27" ht="14.25" customHeight="1" x14ac:dyDescent="0.3">
      <c r="A32" s="37" t="s">
        <v>63</v>
      </c>
      <c r="B32" s="37" t="s">
        <v>19</v>
      </c>
      <c r="C32" s="37" t="s">
        <v>19</v>
      </c>
      <c r="D32" s="37" t="s">
        <v>21</v>
      </c>
      <c r="E32" s="35" t="str">
        <f t="shared" si="0"/>
        <v>HSMBVXIP024VBS</v>
      </c>
      <c r="F32" s="38" t="s">
        <v>64</v>
      </c>
      <c r="G32" s="38" t="s">
        <v>19</v>
      </c>
      <c r="H32" s="38">
        <v>12</v>
      </c>
      <c r="I32" s="38">
        <v>32</v>
      </c>
      <c r="J32" s="38" t="s">
        <v>22</v>
      </c>
      <c r="K32" s="38">
        <v>121</v>
      </c>
      <c r="L32" s="38" t="str">
        <f ca="1">IFERROR(__xludf.DUMMYFUNCTION("SINGLE(IF(ISNUMBER($K32),IF($N32=501,CONCAT(""100.80.1."",$K32,""/24""),IF(N32=502,CONCAT(""100.80.9."",$K32,""/24""),IF(N32=504,CONCAT(""100.80.25."",$K32,""/24""),""""))),""""))"),"#N/A")</f>
        <v>#N/A</v>
      </c>
      <c r="M32" s="38" t="str">
        <f ca="1">IFERROR(__xludf.DUMMYFUNCTION("SINGLE(IF(ISTEXT($F32),IF($N32=501,CONCAT($F32,"".csp01.hs.skoda.vwg""),IF(N32=502,CONCAT($F32,"".csr01.hs.skoda.vwg""),IF(N32=504,CONCAT($F32,"".adm02.hs.skoda.vwg""),""""))),""""))"),"hsmbvxip024vbs.csr01.hs.skoda.vwg")</f>
        <v>hsmbvxip024vbs.csr01.hs.skoda.vwg</v>
      </c>
      <c r="N32" s="38">
        <v>502</v>
      </c>
      <c r="O32" s="38" t="str">
        <f t="shared" si="2"/>
        <v>H-CSR01-MB-S0001</v>
      </c>
      <c r="P32" s="28">
        <v>121</v>
      </c>
      <c r="Q32" s="28" t="str">
        <f ca="1">IFERROR(__xludf.DUMMYFUNCTION("SINGLE(IF(ISNUMBER($P32),CONCAT(""100.81.9."",$P32,""/24""),""""))"),"#N/A")</f>
        <v>#N/A</v>
      </c>
      <c r="R32" s="28" t="str">
        <f ca="1">IFERROR(__xludf.DUMMYFUNCTION("SINGLE(IF(ISTEXT($F32),CONCAT($F32,"".bck.hs.skoda.vwg""),""""))"),"hsmbvxip024vbs.bck.hs.skoda.vwg")</f>
        <v>hsmbvxip024vbs.bck.hs.skoda.vwg</v>
      </c>
      <c r="S32" s="28">
        <f t="shared" si="3"/>
        <v>944</v>
      </c>
      <c r="T32" s="28" t="str">
        <f t="shared" si="4"/>
        <v>HS-BCK-001</v>
      </c>
      <c r="U32" s="28" t="str">
        <f ca="1">IFERROR(__xludf.DUMMYFUNCTION("SINGLE(IF(ISNUMBER($P32),CONCAT(""100.82.9."",$P32,""/24""),""""))"),"#N/A")</f>
        <v>#N/A</v>
      </c>
      <c r="V32" s="28" t="str">
        <f ca="1">IFERROR(__xludf.DUMMYFUNCTION("SINGLE(IF(ISTEXT($F32),CONCAT($F32,"".stg.hs.skoda.vwg""),""""))"),"hsmbvxip024vbs.stg.hs.skoda.vwg")</f>
        <v>hsmbvxip024vbs.stg.hs.skoda.vwg</v>
      </c>
      <c r="W32" s="28">
        <f t="shared" si="5"/>
        <v>945</v>
      </c>
      <c r="X32" s="28" t="str">
        <f t="shared" si="6"/>
        <v>HS-STG-001</v>
      </c>
      <c r="Y32" s="29"/>
      <c r="Z32" s="29"/>
      <c r="AA32" s="29"/>
    </row>
    <row r="33" spans="1:27" ht="14.25" customHeight="1" x14ac:dyDescent="0.3">
      <c r="A33" s="58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28">
        <v>20</v>
      </c>
      <c r="Q33" s="28" t="str">
        <f ca="1">IFERROR(__xludf.DUMMYFUNCTION("SINGLE(IF(ISNUMBER($P33),CONCAT(""100.81.10."",$P33,""/24""),""""))"),"#N/A")</f>
        <v>#N/A</v>
      </c>
      <c r="R33" s="28" t="str">
        <f ca="1">IFERROR(__xludf.DUMMYFUNCTION("SINGLE(IF(ISTEXT($F32),CONCAT($F32,"".bck.hs.skoda.vwg""),""""))"),"hsmbvxip024vbs.bck.hs.skoda.vwg")</f>
        <v>hsmbvxip024vbs.bck.hs.skoda.vwg</v>
      </c>
      <c r="S33" s="28">
        <v>946</v>
      </c>
      <c r="T33" s="28" t="str">
        <f>IF(ISTEXT($F32),"HS-BCK-002","")</f>
        <v>HS-BCK-002</v>
      </c>
      <c r="U33" s="28" t="str">
        <f ca="1">IFERROR(__xludf.DUMMYFUNCTION("SINGLE(IF(ISNUMBER($P33),CONCAT(""100.82.10."",$P33,""/24""),""""))"),"#N/A")</f>
        <v>#N/A</v>
      </c>
      <c r="V33" s="28" t="str">
        <f ca="1">IFERROR(__xludf.DUMMYFUNCTION("SINGLE(IF(ISTEXT($F32),CONCAT($F32,"".stg.hs.skoda.vwg""),""""))"),"hsmbvxip024vbs.stg.hs.skoda.vwg")</f>
        <v>hsmbvxip024vbs.stg.hs.skoda.vwg</v>
      </c>
      <c r="W33" s="28">
        <v>947</v>
      </c>
      <c r="X33" s="28" t="str">
        <f>IF(ISTEXT($F32),"HS-STG-002","")</f>
        <v>HS-STG-002</v>
      </c>
      <c r="Y33" s="29"/>
      <c r="Z33" s="29"/>
      <c r="AA33" s="29"/>
    </row>
    <row r="34" spans="1:27" ht="14.25" customHeight="1" x14ac:dyDescent="0.3">
      <c r="A34" s="58"/>
      <c r="B34" s="37" t="s">
        <v>19</v>
      </c>
      <c r="C34" s="37" t="s">
        <v>19</v>
      </c>
      <c r="D34" s="37" t="s">
        <v>19</v>
      </c>
      <c r="E34" s="35" t="str">
        <f>UPPER($F34)</f>
        <v>HSMBVXIP025VBR</v>
      </c>
      <c r="F34" s="38" t="s">
        <v>65</v>
      </c>
      <c r="G34" s="35" t="s">
        <v>19</v>
      </c>
      <c r="H34" s="33">
        <v>16</v>
      </c>
      <c r="I34" s="33">
        <v>64</v>
      </c>
      <c r="J34" s="35" t="s">
        <v>24</v>
      </c>
      <c r="K34" s="36">
        <v>122</v>
      </c>
      <c r="L34" s="36" t="str">
        <f ca="1">IFERROR(__xludf.DUMMYFUNCTION("SINGLE(IF(ISNUMBER($K34),IF($N34=501,CONCAT(""100.80.1."",$K34,""/24""),IF(N34=502,CONCAT(""100.80.9."",$K34,""/24""),IF(N34=504,CONCAT(""100.80.25."",$K34,""/24""),""""))),""""))"),"#N/A")</f>
        <v>#N/A</v>
      </c>
      <c r="M34" s="36" t="str">
        <f ca="1">IFERROR(__xludf.DUMMYFUNCTION("SINGLE(IF(ISTEXT($F34),IF($N34=501,CONCAT($F34,"".csp01.hs.skoda.vwg""),IF(N34=502,CONCAT($F34,"".csr01.hs.skoda.vwg""),IF(N34=504,CONCAT($F34,"".adm02.hs.skoda.vwg""),""""))),""""))"),"hsmbvxip025vbr.csr01.hs.skoda.vwg")</f>
        <v>hsmbvxip025vbr.csr01.hs.skoda.vwg</v>
      </c>
      <c r="N34" s="36">
        <v>502</v>
      </c>
      <c r="O34" s="36" t="str">
        <f>IF(N34=501,"H-CSP01-MB-S0001",IF(N34=502,"H-CSR01-MB-S0001",IF(N34=504,"H-ADM02-MB-S0001","")))</f>
        <v>H-CSR01-MB-S0001</v>
      </c>
      <c r="P34" s="28">
        <v>122</v>
      </c>
      <c r="Q34" s="28" t="str">
        <f ca="1">IFERROR(__xludf.DUMMYFUNCTION("SINGLE(IF(ISNUMBER($P34),CONCAT(""100.81.9."",$P34,""/24""),""""))"),"#N/A")</f>
        <v>#N/A</v>
      </c>
      <c r="R34" s="28" t="str">
        <f ca="1">IFERROR(__xludf.DUMMYFUNCTION("SINGLE(IF(ISTEXT($F34),CONCAT($F34,"".bck.hs.skoda.vwg""),""""))"),"hsmbvxip025vbr.bck.hs.skoda.vwg")</f>
        <v>hsmbvxip025vbr.bck.hs.skoda.vwg</v>
      </c>
      <c r="S34" s="28">
        <f>IF(ISTEXT($F34),944,"")</f>
        <v>944</v>
      </c>
      <c r="T34" s="28" t="str">
        <f>IF(ISTEXT($F34),"HS-BCK-001","")</f>
        <v>HS-BCK-001</v>
      </c>
      <c r="U34" s="28" t="str">
        <f ca="1">IFERROR(__xludf.DUMMYFUNCTION("SINGLE(IF(ISNUMBER($P34),CONCAT(""100.82.9."",$P34,""/24""),""""))"),"#N/A")</f>
        <v>#N/A</v>
      </c>
      <c r="V34" s="28" t="str">
        <f ca="1">IFERROR(__xludf.DUMMYFUNCTION("SINGLE(IF(ISTEXT($F34),CONCAT($F34,"".stg.hs.skoda.vwg""),""""))"),"hsmbvxip025vbr.stg.hs.skoda.vwg")</f>
        <v>hsmbvxip025vbr.stg.hs.skoda.vwg</v>
      </c>
      <c r="W34" s="28">
        <f>IF(ISTEXT($F34),945,"")</f>
        <v>945</v>
      </c>
      <c r="X34" s="28" t="str">
        <f>IF(ISTEXT($F34),"HS-STG-001","")</f>
        <v>HS-STG-001</v>
      </c>
      <c r="Y34" s="29"/>
      <c r="Z34" s="29"/>
      <c r="AA34" s="29"/>
    </row>
    <row r="35" spans="1:27" ht="14.25" customHeight="1" x14ac:dyDescent="0.3">
      <c r="A35" s="58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28">
        <v>22</v>
      </c>
      <c r="Q35" s="28" t="str">
        <f ca="1">IFERROR(__xludf.DUMMYFUNCTION("SINGLE(IF(ISNUMBER($P35),CONCAT(""100.81.10."",$P35,""/24""),""""))"),"#N/A")</f>
        <v>#N/A</v>
      </c>
      <c r="R35" s="28" t="str">
        <f ca="1">IFERROR(__xludf.DUMMYFUNCTION("SINGLE(IF(ISTEXT($F34),CONCAT($F34,"".bck.hs.skoda.vwg""),""""))"),"hsmbvxip025vbr.bck.hs.skoda.vwg")</f>
        <v>hsmbvxip025vbr.bck.hs.skoda.vwg</v>
      </c>
      <c r="S35" s="28">
        <v>946</v>
      </c>
      <c r="T35" s="28" t="str">
        <f>IF(ISTEXT($F32),"HS-BCK-002","")</f>
        <v>HS-BCK-002</v>
      </c>
      <c r="U35" s="28" t="str">
        <f ca="1">IFERROR(__xludf.DUMMYFUNCTION("SINGLE(IF(ISNUMBER($P35),CONCAT(""100.82.10."",$P35,""/24""),""""))"),"#N/A")</f>
        <v>#N/A</v>
      </c>
      <c r="V35" s="28" t="str">
        <f ca="1">IFERROR(__xludf.DUMMYFUNCTION("SINGLE(IF(ISTEXT($F34),CONCAT($F34,"".stg.hs.skoda.vwg""),""""))"),"hsmbvxip025vbr.stg.hs.skoda.vwg")</f>
        <v>hsmbvxip025vbr.stg.hs.skoda.vwg</v>
      </c>
      <c r="W35" s="28">
        <v>947</v>
      </c>
      <c r="X35" s="28" t="str">
        <f>IF(ISTEXT($F32),"HS-STG-002","")</f>
        <v>HS-STG-002</v>
      </c>
      <c r="Y35" s="29"/>
      <c r="Z35" s="29"/>
      <c r="AA35" s="29"/>
    </row>
    <row r="36" spans="1:27" ht="14.25" customHeight="1" x14ac:dyDescent="0.3">
      <c r="A36" s="58"/>
      <c r="B36" s="37" t="s">
        <v>19</v>
      </c>
      <c r="C36" s="37" t="s">
        <v>19</v>
      </c>
      <c r="D36" s="37" t="s">
        <v>19</v>
      </c>
      <c r="E36" s="35" t="str">
        <f>UPPER($F36)</f>
        <v>HSMBVXIP026ORS</v>
      </c>
      <c r="F36" s="38" t="s">
        <v>66</v>
      </c>
      <c r="G36" s="35" t="s">
        <v>19</v>
      </c>
      <c r="H36" s="33">
        <v>12</v>
      </c>
      <c r="I36" s="33">
        <v>32</v>
      </c>
      <c r="J36" s="35" t="s">
        <v>24</v>
      </c>
      <c r="K36" s="36">
        <v>123</v>
      </c>
      <c r="L36" s="36" t="str">
        <f ca="1">IFERROR(__xludf.DUMMYFUNCTION("SINGLE(IF(ISNUMBER($K36),IF($N36=501,CONCAT(""100.80.1."",$K36,""/24""),IF(N36=502,CONCAT(""100.80.9."",$K36,""/24""),IF(N36=504,CONCAT(""100.80.25."",$K36,""/24""),""""))),""""))"),"#N/A")</f>
        <v>#N/A</v>
      </c>
      <c r="M36" s="36" t="str">
        <f ca="1">IFERROR(__xludf.DUMMYFUNCTION("SINGLE(IF(ISTEXT($F36),IF($N36=501,CONCAT($F36,"".csp01.hs.skoda.vwg""),IF(N36=502,CONCAT($F36,"".csr01.hs.skoda.vwg""),IF(N36=504,CONCAT($F36,"".adm02.hs.skoda.vwg""),""""))),""""))"),"hsmbvxip026ors.csr01.hs.skoda.vwg")</f>
        <v>hsmbvxip026ors.csr01.hs.skoda.vwg</v>
      </c>
      <c r="N36" s="36">
        <v>502</v>
      </c>
      <c r="O36" s="36" t="str">
        <f>IF(N36=501,"H-CSP01-MB-S0001",IF(N36=502,"H-CSR01-MB-S0001",IF(N36=504,"H-ADM02-MB-S0001","")))</f>
        <v>H-CSR01-MB-S0001</v>
      </c>
      <c r="P36" s="28">
        <v>123</v>
      </c>
      <c r="Q36" s="28" t="str">
        <f ca="1">IFERROR(__xludf.DUMMYFUNCTION("SINGLE(IF(ISNUMBER($P36),CONCAT(""100.81.9."",$P36,""/24""),""""))"),"#N/A")</f>
        <v>#N/A</v>
      </c>
      <c r="R36" s="28" t="str">
        <f ca="1">IFERROR(__xludf.DUMMYFUNCTION("SINGLE(IF(ISTEXT($F36),CONCAT($F36,"".bck.hs.skoda.vwg""),""""))"),"hsmbvxip026ors.bck.hs.skoda.vwg")</f>
        <v>hsmbvxip026ors.bck.hs.skoda.vwg</v>
      </c>
      <c r="S36" s="28">
        <f>IF(ISTEXT($F36),944,"")</f>
        <v>944</v>
      </c>
      <c r="T36" s="28" t="str">
        <f>IF(ISTEXT($F36),"HS-BCK-001","")</f>
        <v>HS-BCK-001</v>
      </c>
      <c r="U36" s="28" t="str">
        <f ca="1">IFERROR(__xludf.DUMMYFUNCTION("SINGLE(IF(ISNUMBER($P36),CONCAT(""100.82.9."",$P36,""/24""),""""))"),"#N/A")</f>
        <v>#N/A</v>
      </c>
      <c r="V36" s="28" t="str">
        <f ca="1">IFERROR(__xludf.DUMMYFUNCTION("SINGLE(IF(ISTEXT($F36),CONCAT($F36,"".stg.hs.skoda.vwg""),""""))"),"hsmbvxip026ors.stg.hs.skoda.vwg")</f>
        <v>hsmbvxip026ors.stg.hs.skoda.vwg</v>
      </c>
      <c r="W36" s="28">
        <f>IF(ISTEXT($F36),945,"")</f>
        <v>945</v>
      </c>
      <c r="X36" s="28" t="str">
        <f>IF(ISTEXT($F36),"HS-STG-001","")</f>
        <v>HS-STG-001</v>
      </c>
      <c r="Y36" s="29"/>
      <c r="Z36" s="29"/>
      <c r="AA36" s="29"/>
    </row>
    <row r="37" spans="1:27" ht="14.2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28">
        <v>23</v>
      </c>
      <c r="Q37" s="28" t="str">
        <f ca="1">IFERROR(__xludf.DUMMYFUNCTION("SINGLE(IF(ISNUMBER($P37),CONCAT(""100.81.10."",$P37,""/24""),""""))"),"#N/A")</f>
        <v>#N/A</v>
      </c>
      <c r="R37" s="28" t="str">
        <f ca="1">IFERROR(__xludf.DUMMYFUNCTION("SINGLE(IF(ISTEXT($F36),CONCAT($F36,"".bck.hs.skoda.vwg""),""""))"),"hsmbvxip026ors.bck.hs.skoda.vwg")</f>
        <v>hsmbvxip026ors.bck.hs.skoda.vwg</v>
      </c>
      <c r="S37" s="28">
        <v>946</v>
      </c>
      <c r="T37" s="28" t="str">
        <f>IF(ISTEXT($F34),"HS-BCK-002","")</f>
        <v>HS-BCK-002</v>
      </c>
      <c r="U37" s="28" t="str">
        <f ca="1">IFERROR(__xludf.DUMMYFUNCTION("SINGLE(IF(ISNUMBER($P37),CONCAT(""100.82.10."",$P37,""/24""),""""))"),"#N/A")</f>
        <v>#N/A</v>
      </c>
      <c r="V37" s="28" t="str">
        <f ca="1">IFERROR(__xludf.DUMMYFUNCTION("SINGLE(IF(ISTEXT($F36),CONCAT($F36,"".stg.hs.skoda.vwg""),""""))"),"hsmbvxip026ors.stg.hs.skoda.vwg")</f>
        <v>hsmbvxip026ors.stg.hs.skoda.vwg</v>
      </c>
      <c r="W37" s="28">
        <v>947</v>
      </c>
      <c r="X37" s="28" t="str">
        <f>IF(ISTEXT($F34),"HS-STG-002","")</f>
        <v>HS-STG-002</v>
      </c>
      <c r="Y37" s="29"/>
      <c r="Z37" s="29"/>
      <c r="AA37" s="29"/>
    </row>
    <row r="38" spans="1:27" ht="14.25" customHeight="1" x14ac:dyDescent="0.3">
      <c r="A38" s="19"/>
      <c r="B38" s="19"/>
      <c r="C38" s="19"/>
      <c r="D38" s="19"/>
      <c r="E38" s="25"/>
      <c r="F38" s="15"/>
      <c r="G38" s="15"/>
      <c r="H38" s="15"/>
      <c r="I38" s="15"/>
      <c r="J38" s="15"/>
      <c r="K38" s="15"/>
      <c r="L38" s="15"/>
      <c r="M38" s="15"/>
      <c r="N38" s="15"/>
      <c r="O38" s="15"/>
      <c r="Q38" s="15"/>
      <c r="R38" s="15"/>
      <c r="S38" s="15"/>
      <c r="T38" s="15"/>
      <c r="U38" s="15"/>
      <c r="V38" s="15"/>
      <c r="W38" s="15"/>
      <c r="X38" s="15"/>
    </row>
    <row r="39" spans="1:27" ht="14.25" customHeight="1" x14ac:dyDescent="0.3">
      <c r="A39" s="19"/>
      <c r="B39" s="19"/>
      <c r="C39" s="19"/>
      <c r="D39" s="19"/>
      <c r="E39" s="25"/>
      <c r="F39" s="15"/>
      <c r="G39" s="15"/>
      <c r="H39" s="15"/>
      <c r="I39" s="15"/>
      <c r="J39" s="15"/>
      <c r="K39" s="15"/>
      <c r="L39" s="15"/>
      <c r="M39" s="15"/>
      <c r="N39" s="15"/>
      <c r="O39" s="15"/>
      <c r="Q39" s="15"/>
      <c r="R39" s="15"/>
      <c r="S39" s="15"/>
      <c r="T39" s="15"/>
      <c r="U39" s="15"/>
      <c r="V39" s="15"/>
      <c r="W39" s="15"/>
      <c r="X39" s="15"/>
    </row>
    <row r="40" spans="1:27" ht="14.25" customHeight="1" x14ac:dyDescent="0.3">
      <c r="A40" s="19"/>
      <c r="B40" s="19"/>
      <c r="C40" s="19"/>
      <c r="D40" s="19"/>
      <c r="E40" s="25"/>
      <c r="F40" s="15"/>
      <c r="G40" s="15"/>
      <c r="H40" s="15"/>
      <c r="I40" s="15"/>
      <c r="J40" s="15"/>
      <c r="K40" s="15"/>
      <c r="L40" s="15"/>
      <c r="M40" s="15"/>
      <c r="N40" s="15"/>
      <c r="O40" s="15"/>
      <c r="Q40" s="15"/>
      <c r="R40" s="15"/>
      <c r="S40" s="15"/>
      <c r="T40" s="15"/>
      <c r="U40" s="15"/>
      <c r="V40" s="15"/>
      <c r="W40" s="15"/>
      <c r="X40" s="15"/>
    </row>
    <row r="41" spans="1:27" ht="14.25" customHeight="1" x14ac:dyDescent="0.35">
      <c r="A41" s="49" t="s">
        <v>67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1:27" ht="14.25" customHeight="1" x14ac:dyDescent="0.3">
      <c r="A42" s="53" t="s">
        <v>68</v>
      </c>
      <c r="B42" s="30" t="s">
        <v>69</v>
      </c>
      <c r="C42" s="15" t="s">
        <v>19</v>
      </c>
      <c r="D42" s="31" t="s">
        <v>19</v>
      </c>
      <c r="E42" s="30" t="s">
        <v>69</v>
      </c>
      <c r="F42" s="30" t="s">
        <v>70</v>
      </c>
      <c r="G42" s="15" t="s">
        <v>19</v>
      </c>
      <c r="H42" s="30">
        <v>4</v>
      </c>
      <c r="I42" s="30">
        <v>16</v>
      </c>
      <c r="J42" s="30" t="s">
        <v>22</v>
      </c>
      <c r="L42" s="30" t="s">
        <v>71</v>
      </c>
      <c r="M42" t="str">
        <f>_xlfn.CONCAT(F42,".epcomm.cz")</f>
        <v>epcns1.epcomm.cz</v>
      </c>
      <c r="N42" s="30">
        <v>602</v>
      </c>
      <c r="P42" s="30">
        <v>41</v>
      </c>
      <c r="Q42" s="15" t="str">
        <f ca="1">IFERROR(__xludf.DUMMYFUNCTION("SINGLE(IF(ISNUMBER($P42),CONCAT(""100.81.10."",$P42,""/24""),""""))"),"#N/A")</f>
        <v>#N/A</v>
      </c>
      <c r="R42" s="15" t="str">
        <f ca="1">IFERROR(__xludf.DUMMYFUNCTION("SINGLE(IF(ISTEXT($F42),CONCAT($F42,"".bck.hs.skoda.vwg""),""""))"),"epcns1.bck.hs.skoda.vwg")</f>
        <v>epcns1.bck.hs.skoda.vwg</v>
      </c>
      <c r="S42" s="15">
        <v>946</v>
      </c>
      <c r="T42" s="15" t="str">
        <f t="shared" ref="T42:T48" si="7">IF(ISTEXT($F42),"HS-BCK-002","")</f>
        <v>HS-BCK-002</v>
      </c>
      <c r="U42" s="15" t="str">
        <f ca="1">IFERROR(__xludf.DUMMYFUNCTION("SINGLE(IF(ISNUMBER($P42),CONCAT(""100.82.10."",$P42,""/24""),""""))"),"#N/A")</f>
        <v>#N/A</v>
      </c>
      <c r="V42" s="15" t="str">
        <f ca="1">IFERROR(__xludf.DUMMYFUNCTION("SINGLE(IF(ISTEXT($F42),CONCAT($F42,"".stg.hs.skoda.vwg""),""""))"),"epcns1.stg.hs.skoda.vwg")</f>
        <v>epcns1.stg.hs.skoda.vwg</v>
      </c>
      <c r="W42" s="15">
        <v>947</v>
      </c>
      <c r="X42" s="15" t="str">
        <f t="shared" ref="X42:X48" si="8">IF(ISTEXT($F42),"HS-STG-002","")</f>
        <v>HS-STG-002</v>
      </c>
      <c r="Y42" s="51" t="s">
        <v>72</v>
      </c>
      <c r="Z42" s="51" t="s">
        <v>73</v>
      </c>
      <c r="AA42" s="29"/>
    </row>
    <row r="43" spans="1:27" ht="14.25" customHeight="1" x14ac:dyDescent="0.3">
      <c r="A43" s="50"/>
      <c r="B43" s="30" t="s">
        <v>69</v>
      </c>
      <c r="C43" s="15" t="s">
        <v>19</v>
      </c>
      <c r="D43" s="31" t="s">
        <v>19</v>
      </c>
      <c r="E43" s="30" t="s">
        <v>69</v>
      </c>
      <c r="F43" s="30" t="s">
        <v>74</v>
      </c>
      <c r="G43" s="15" t="s">
        <v>19</v>
      </c>
      <c r="H43" s="30">
        <v>4</v>
      </c>
      <c r="I43" s="30">
        <v>16</v>
      </c>
      <c r="J43" s="30" t="s">
        <v>24</v>
      </c>
      <c r="L43" s="30" t="s">
        <v>75</v>
      </c>
      <c r="M43" t="str">
        <f t="shared" ref="M43:M48" si="9">_xlfn.CONCAT(F43,".epcomm.cz")</f>
        <v>epcns2.epcomm.cz</v>
      </c>
      <c r="N43" s="30">
        <v>602</v>
      </c>
      <c r="P43" s="30">
        <v>42</v>
      </c>
      <c r="Q43" s="15" t="str">
        <f ca="1">IFERROR(__xludf.DUMMYFUNCTION("SINGLE(IF(ISNUMBER($P43),CONCAT(""100.81.10."",$P43,""/24""),""""))"),"#N/A")</f>
        <v>#N/A</v>
      </c>
      <c r="R43" s="15" t="str">
        <f ca="1">IFERROR(__xludf.DUMMYFUNCTION("SINGLE(IF(ISTEXT($F43),CONCAT($F43,"".bck.hs.skoda.vwg""),""""))"),"epcns2.bck.hs.skoda.vwg")</f>
        <v>epcns2.bck.hs.skoda.vwg</v>
      </c>
      <c r="S43" s="15">
        <v>946</v>
      </c>
      <c r="T43" s="15" t="str">
        <f t="shared" si="7"/>
        <v>HS-BCK-002</v>
      </c>
      <c r="U43" s="15" t="str">
        <f ca="1">IFERROR(__xludf.DUMMYFUNCTION("SINGLE(IF(ISNUMBER($P43),CONCAT(""100.82.10."",$P43,""/24""),""""))"),"#N/A")</f>
        <v>#N/A</v>
      </c>
      <c r="V43" s="15" t="str">
        <f ca="1">IFERROR(__xludf.DUMMYFUNCTION("SINGLE(IF(ISTEXT($F43),CONCAT($F43,"".stg.hs.skoda.vwg""),""""))"),"epcns2.stg.hs.skoda.vwg")</f>
        <v>epcns2.stg.hs.skoda.vwg</v>
      </c>
      <c r="W43" s="15">
        <v>947</v>
      </c>
      <c r="X43" s="15" t="str">
        <f t="shared" si="8"/>
        <v>HS-STG-002</v>
      </c>
      <c r="Y43" s="50"/>
      <c r="Z43" s="50"/>
      <c r="AA43" s="29"/>
    </row>
    <row r="44" spans="1:27" ht="14.25" customHeight="1" x14ac:dyDescent="0.3">
      <c r="A44" s="12" t="s">
        <v>61</v>
      </c>
      <c r="B44" s="30" t="s">
        <v>69</v>
      </c>
      <c r="C44" s="15" t="s">
        <v>19</v>
      </c>
      <c r="D44" s="31" t="s">
        <v>19</v>
      </c>
      <c r="E44" s="30" t="s">
        <v>69</v>
      </c>
      <c r="F44" s="30" t="s">
        <v>76</v>
      </c>
      <c r="G44" s="15" t="s">
        <v>19</v>
      </c>
      <c r="H44" s="30">
        <v>2</v>
      </c>
      <c r="I44" s="30">
        <v>8</v>
      </c>
      <c r="J44" s="30" t="s">
        <v>22</v>
      </c>
      <c r="L44" s="30" t="s">
        <v>77</v>
      </c>
      <c r="M44" t="str">
        <f t="shared" si="9"/>
        <v>epczab.epcomm.cz</v>
      </c>
      <c r="N44" s="30">
        <v>602</v>
      </c>
      <c r="P44" s="30">
        <v>43</v>
      </c>
      <c r="Q44" s="15" t="str">
        <f ca="1">IFERROR(__xludf.DUMMYFUNCTION("SINGLE(IF(ISNUMBER($P44),CONCAT(""100.81.10."",$P44,""/24""),""""))"),"#N/A")</f>
        <v>#N/A</v>
      </c>
      <c r="R44" s="15" t="str">
        <f ca="1">IFERROR(__xludf.DUMMYFUNCTION("SINGLE(IF(ISTEXT($F44),CONCAT($F44,"".bck.hs.skoda.vwg""),""""))"),"epczab.bck.hs.skoda.vwg")</f>
        <v>epczab.bck.hs.skoda.vwg</v>
      </c>
      <c r="S44" s="15">
        <v>946</v>
      </c>
      <c r="T44" s="15" t="str">
        <f t="shared" si="7"/>
        <v>HS-BCK-002</v>
      </c>
      <c r="U44" s="15" t="str">
        <f ca="1">IFERROR(__xludf.DUMMYFUNCTION("SINGLE(IF(ISNUMBER($P44),CONCAT(""100.82.10."",$P44,""/24""),""""))"),"#N/A")</f>
        <v>#N/A</v>
      </c>
      <c r="V44" s="15" t="str">
        <f ca="1">IFERROR(__xludf.DUMMYFUNCTION("SINGLE(IF(ISTEXT($F44),CONCAT($F44,"".stg.hs.skoda.vwg""),""""))"),"epczab.stg.hs.skoda.vwg")</f>
        <v>epczab.stg.hs.skoda.vwg</v>
      </c>
      <c r="W44" s="15">
        <v>947</v>
      </c>
      <c r="X44" s="15" t="str">
        <f t="shared" si="8"/>
        <v>HS-STG-002</v>
      </c>
    </row>
    <row r="45" spans="1:27" ht="14.25" customHeight="1" x14ac:dyDescent="0.3">
      <c r="A45" s="54" t="s">
        <v>78</v>
      </c>
      <c r="B45" s="30" t="s">
        <v>69</v>
      </c>
      <c r="C45" s="15" t="s">
        <v>19</v>
      </c>
      <c r="D45" s="32" t="s">
        <v>21</v>
      </c>
      <c r="E45" s="30" t="s">
        <v>69</v>
      </c>
      <c r="F45" s="30" t="s">
        <v>79</v>
      </c>
      <c r="G45" s="15" t="s">
        <v>19</v>
      </c>
      <c r="H45" s="30">
        <v>4</v>
      </c>
      <c r="I45" s="30">
        <v>32</v>
      </c>
      <c r="J45" s="30" t="s">
        <v>22</v>
      </c>
      <c r="L45" s="30" t="s">
        <v>80</v>
      </c>
      <c r="M45" t="str">
        <f t="shared" si="9"/>
        <v>epcceph1.epcomm.cz</v>
      </c>
      <c r="N45" s="30">
        <v>602</v>
      </c>
      <c r="P45" s="30">
        <v>56</v>
      </c>
      <c r="Q45" s="15" t="str">
        <f ca="1">IFERROR(__xludf.DUMMYFUNCTION("SINGLE(IF(ISNUMBER($P45),CONCAT(""100.81.10."",$P45,""/24""),""""))"),"#N/A")</f>
        <v>#N/A</v>
      </c>
      <c r="R45" s="15" t="str">
        <f ca="1">IFERROR(__xludf.DUMMYFUNCTION("SINGLE(IF(ISTEXT($F45),CONCAT($F45,"".bck.hs.skoda.vwg""),""""))"),"epcceph1.bck.hs.skoda.vwg")</f>
        <v>epcceph1.bck.hs.skoda.vwg</v>
      </c>
      <c r="S45" s="15">
        <v>946</v>
      </c>
      <c r="T45" s="15" t="str">
        <f t="shared" si="7"/>
        <v>HS-BCK-002</v>
      </c>
      <c r="U45" s="15" t="str">
        <f ca="1">IFERROR(__xludf.DUMMYFUNCTION("SINGLE(IF(ISNUMBER($P45),CONCAT(""100.82.10."",$P45,""/24""),""""))"),"#N/A")</f>
        <v>#N/A</v>
      </c>
      <c r="V45" s="15" t="str">
        <f ca="1">IFERROR(__xludf.DUMMYFUNCTION("SINGLE(IF(ISTEXT($F45),CONCAT($F45,"".stg.hs.skoda.vwg""),""""))"),"epcceph1.stg.hs.skoda.vwg")</f>
        <v>epcceph1.stg.hs.skoda.vwg</v>
      </c>
      <c r="W45" s="15">
        <v>947</v>
      </c>
      <c r="X45" s="15" t="str">
        <f t="shared" si="8"/>
        <v>HS-STG-002</v>
      </c>
      <c r="Y45" s="30" t="s">
        <v>81</v>
      </c>
      <c r="Z45" s="52" t="s">
        <v>82</v>
      </c>
    </row>
    <row r="46" spans="1:27" ht="14.25" customHeight="1" x14ac:dyDescent="0.3">
      <c r="A46" s="50"/>
      <c r="B46" s="30" t="s">
        <v>69</v>
      </c>
      <c r="C46" s="15" t="s">
        <v>19</v>
      </c>
      <c r="D46" s="32" t="s">
        <v>21</v>
      </c>
      <c r="E46" s="30" t="s">
        <v>69</v>
      </c>
      <c r="F46" s="30" t="s">
        <v>83</v>
      </c>
      <c r="G46" s="15" t="s">
        <v>19</v>
      </c>
      <c r="H46" s="30">
        <v>4</v>
      </c>
      <c r="I46" s="30">
        <v>32</v>
      </c>
      <c r="J46" s="15" t="s">
        <v>24</v>
      </c>
      <c r="L46" s="30" t="s">
        <v>84</v>
      </c>
      <c r="M46" t="str">
        <f t="shared" si="9"/>
        <v>epcceph2.epcomm.cz</v>
      </c>
      <c r="N46" s="30">
        <v>602</v>
      </c>
      <c r="P46" s="30">
        <v>55</v>
      </c>
      <c r="Q46" s="15" t="str">
        <f ca="1">IFERROR(__xludf.DUMMYFUNCTION("SINGLE(IF(ISNUMBER($P46),CONCAT(""100.81.10."",$P46,""/24""),""""))"),"#N/A")</f>
        <v>#N/A</v>
      </c>
      <c r="R46" s="15" t="str">
        <f ca="1">IFERROR(__xludf.DUMMYFUNCTION("SINGLE(IF(ISTEXT($F46),CONCAT($F46,"".bck.hs.skoda.vwg""),""""))"),"epcceph2.bck.hs.skoda.vwg")</f>
        <v>epcceph2.bck.hs.skoda.vwg</v>
      </c>
      <c r="S46" s="15">
        <v>946</v>
      </c>
      <c r="T46" s="15" t="str">
        <f t="shared" si="7"/>
        <v>HS-BCK-002</v>
      </c>
      <c r="U46" s="15" t="str">
        <f ca="1">IFERROR(__xludf.DUMMYFUNCTION("SINGLE(IF(ISNUMBER($P46),CONCAT(""100.82.10."",$P46,""/24""),""""))"),"#N/A")</f>
        <v>#N/A</v>
      </c>
      <c r="V46" s="15" t="str">
        <f ca="1">IFERROR(__xludf.DUMMYFUNCTION("SINGLE(IF(ISTEXT($F46),CONCAT($F46,"".stg.hs.skoda.vwg""),""""))"),"epcceph2.stg.hs.skoda.vwg")</f>
        <v>epcceph2.stg.hs.skoda.vwg</v>
      </c>
      <c r="W46" s="15">
        <v>947</v>
      </c>
      <c r="X46" s="15" t="str">
        <f t="shared" si="8"/>
        <v>HS-STG-002</v>
      </c>
      <c r="Y46" s="30" t="s">
        <v>85</v>
      </c>
      <c r="Z46" s="50"/>
    </row>
    <row r="47" spans="1:27" ht="14.25" customHeight="1" x14ac:dyDescent="0.3">
      <c r="A47" s="50"/>
      <c r="B47" s="30" t="s">
        <v>69</v>
      </c>
      <c r="C47" s="15" t="s">
        <v>19</v>
      </c>
      <c r="D47" s="32" t="s">
        <v>21</v>
      </c>
      <c r="E47" s="30" t="s">
        <v>69</v>
      </c>
      <c r="F47" s="30" t="s">
        <v>86</v>
      </c>
      <c r="G47" s="15" t="s">
        <v>19</v>
      </c>
      <c r="H47" s="30">
        <v>4</v>
      </c>
      <c r="I47" s="30">
        <v>32</v>
      </c>
      <c r="J47" s="15" t="s">
        <v>32</v>
      </c>
      <c r="L47" s="30" t="s">
        <v>87</v>
      </c>
      <c r="M47" t="str">
        <f t="shared" si="9"/>
        <v>epcceph3.epcomm.cz</v>
      </c>
      <c r="N47" s="30">
        <v>602</v>
      </c>
      <c r="P47" s="30">
        <v>54</v>
      </c>
      <c r="Q47" s="15" t="str">
        <f ca="1">IFERROR(__xludf.DUMMYFUNCTION("SINGLE(IF(ISNUMBER($P47),CONCAT(""100.81.10."",$P47,""/24""),""""))"),"#N/A")</f>
        <v>#N/A</v>
      </c>
      <c r="R47" s="15" t="str">
        <f ca="1">IFERROR(__xludf.DUMMYFUNCTION("SINGLE(IF(ISTEXT($F47),CONCAT($F47,"".bck.hs.skoda.vwg""),""""))"),"epcceph3.bck.hs.skoda.vwg")</f>
        <v>epcceph3.bck.hs.skoda.vwg</v>
      </c>
      <c r="S47" s="15">
        <v>946</v>
      </c>
      <c r="T47" s="15" t="str">
        <f t="shared" si="7"/>
        <v>HS-BCK-002</v>
      </c>
      <c r="U47" s="15" t="str">
        <f ca="1">IFERROR(__xludf.DUMMYFUNCTION("SINGLE(IF(ISNUMBER($P47),CONCAT(""100.82.10."",$P47,""/24""),""""))"),"#N/A")</f>
        <v>#N/A</v>
      </c>
      <c r="V47" s="15" t="str">
        <f ca="1">IFERROR(__xludf.DUMMYFUNCTION("SINGLE(IF(ISTEXT($F47),CONCAT($F47,"".stg.hs.skoda.vwg""),""""))"),"epcceph3.stg.hs.skoda.vwg")</f>
        <v>epcceph3.stg.hs.skoda.vwg</v>
      </c>
      <c r="W47" s="15">
        <v>947</v>
      </c>
      <c r="X47" s="15" t="str">
        <f t="shared" si="8"/>
        <v>HS-STG-002</v>
      </c>
      <c r="Y47" s="30" t="s">
        <v>88</v>
      </c>
      <c r="Z47" s="50"/>
    </row>
    <row r="48" spans="1:27" ht="14.25" customHeight="1" x14ac:dyDescent="0.3">
      <c r="A48" s="15" t="s">
        <v>89</v>
      </c>
      <c r="B48" s="15" t="s">
        <v>69</v>
      </c>
      <c r="E48" s="30" t="s">
        <v>69</v>
      </c>
      <c r="F48" s="15" t="s">
        <v>90</v>
      </c>
      <c r="G48" s="15" t="s">
        <v>19</v>
      </c>
      <c r="H48" s="15">
        <v>2</v>
      </c>
      <c r="I48" s="30">
        <v>8</v>
      </c>
      <c r="L48" s="15" t="s">
        <v>91</v>
      </c>
      <c r="M48" t="str">
        <f t="shared" si="9"/>
        <v>epcwint.epcomm.cz</v>
      </c>
      <c r="N48" s="30">
        <v>602</v>
      </c>
      <c r="P48" s="30">
        <v>180</v>
      </c>
      <c r="Q48" s="15" t="str">
        <f ca="1">IFERROR(__xludf.DUMMYFUNCTION("SINGLE(IF(ISNUMBER($P48),CONCAT(""100.81.10."",$P48,""/24""),""""))"),"#N/A")</f>
        <v>#N/A</v>
      </c>
      <c r="R48" s="15" t="str">
        <f ca="1">IFERROR(__xludf.DUMMYFUNCTION("SINGLE(IF(ISTEXT($F48),CONCAT($F48,"".bck.hs.skoda.vwg""),""""))"),"epcwint.bck.hs.skoda.vwg")</f>
        <v>epcwint.bck.hs.skoda.vwg</v>
      </c>
      <c r="S48" s="15">
        <v>946</v>
      </c>
      <c r="T48" s="15" t="str">
        <f t="shared" si="7"/>
        <v>HS-BCK-002</v>
      </c>
      <c r="U48" s="15" t="str">
        <f ca="1">IFERROR(__xludf.DUMMYFUNCTION("SINGLE(IF(ISNUMBER($P48),CONCAT(""100.82.10."",$P48,""/24""),""""))"),"#N/A")</f>
        <v>#N/A</v>
      </c>
      <c r="V48" s="15" t="str">
        <f ca="1">IFERROR(__xludf.DUMMYFUNCTION("SINGLE(IF(ISTEXT($F48),CONCAT($F48,"".stg.hs.skoda.vwg""),""""))"),"epcwint.stg.hs.skoda.vwg")</f>
        <v>epcwint.stg.hs.skoda.vwg</v>
      </c>
      <c r="W48" s="15">
        <v>947</v>
      </c>
      <c r="X48" s="15" t="str">
        <f t="shared" si="8"/>
        <v>HS-STG-002</v>
      </c>
    </row>
    <row r="49" spans="1:11" ht="14.25" customHeight="1" x14ac:dyDescent="0.3"/>
    <row r="50" spans="1:11" ht="14.25" customHeight="1" x14ac:dyDescent="0.3"/>
    <row r="51" spans="1:11" ht="14.25" customHeight="1" x14ac:dyDescent="0.3">
      <c r="A51" s="15" t="s">
        <v>92</v>
      </c>
    </row>
    <row r="52" spans="1:11" ht="14.25" customHeight="1" x14ac:dyDescent="0.3">
      <c r="A52" s="15" t="s">
        <v>93</v>
      </c>
      <c r="B52" s="55" t="s">
        <v>94</v>
      </c>
      <c r="C52" s="50"/>
      <c r="D52" s="50"/>
      <c r="E52" s="50"/>
      <c r="F52" s="50"/>
      <c r="G52" s="50"/>
      <c r="H52" s="50"/>
      <c r="I52" s="50"/>
      <c r="J52" s="50"/>
      <c r="K52" s="50"/>
    </row>
    <row r="53" spans="1:11" ht="14.25" customHeight="1" x14ac:dyDescent="0.3">
      <c r="A53" s="15" t="s">
        <v>95</v>
      </c>
      <c r="B53" s="55" t="s">
        <v>96</v>
      </c>
      <c r="C53" s="50"/>
      <c r="D53" s="50"/>
      <c r="E53" s="50"/>
      <c r="F53" s="50"/>
      <c r="G53" s="50"/>
      <c r="H53" s="50"/>
      <c r="I53" s="50"/>
      <c r="J53" s="50"/>
      <c r="K53" s="50"/>
    </row>
    <row r="54" spans="1:11" ht="14.25" customHeight="1" x14ac:dyDescent="0.3">
      <c r="A54" s="30" t="s">
        <v>97</v>
      </c>
      <c r="B54" s="55" t="s">
        <v>98</v>
      </c>
      <c r="C54" s="50"/>
      <c r="D54" s="50"/>
      <c r="E54" s="50"/>
      <c r="F54" s="50"/>
      <c r="G54" s="50"/>
      <c r="H54" s="50"/>
      <c r="I54" s="50"/>
      <c r="J54" s="50"/>
      <c r="K54" s="50"/>
    </row>
    <row r="55" spans="1:11" ht="14.25" customHeight="1" x14ac:dyDescent="0.3">
      <c r="A55" s="30" t="s">
        <v>99</v>
      </c>
      <c r="B55" s="55" t="e">
        <f t="shared" ref="B55:B56" ca="1" si="10">_xludf.CONCAT(F22," druha adresa")</f>
        <v>#NAME?</v>
      </c>
      <c r="C55" s="50"/>
      <c r="D55" s="50"/>
      <c r="E55" s="50"/>
      <c r="F55" s="50"/>
      <c r="G55" s="50"/>
      <c r="H55" s="50"/>
      <c r="I55" s="50"/>
      <c r="J55" s="50"/>
      <c r="K55" s="50"/>
    </row>
    <row r="56" spans="1:11" ht="14.25" customHeight="1" x14ac:dyDescent="0.3">
      <c r="A56" s="30" t="s">
        <v>100</v>
      </c>
      <c r="B56" s="55" t="e">
        <f t="shared" ca="1" si="10"/>
        <v>#NAME?</v>
      </c>
      <c r="C56" s="50"/>
      <c r="D56" s="50"/>
      <c r="E56" s="50"/>
      <c r="F56" s="50"/>
      <c r="G56" s="50"/>
      <c r="H56" s="50"/>
      <c r="I56" s="50"/>
      <c r="J56" s="50"/>
      <c r="K56" s="50"/>
    </row>
    <row r="57" spans="1:11" ht="14.25" customHeight="1" x14ac:dyDescent="0.3">
      <c r="B57" s="15"/>
    </row>
    <row r="58" spans="1:11" ht="14.25" customHeight="1" x14ac:dyDescent="0.3"/>
    <row r="59" spans="1:11" ht="14.25" customHeight="1" x14ac:dyDescent="0.3">
      <c r="A59" s="55" t="s">
        <v>101</v>
      </c>
      <c r="B59" s="50"/>
      <c r="C59" s="15"/>
      <c r="D59" s="15"/>
      <c r="E59" s="15"/>
    </row>
    <row r="60" spans="1:11" ht="14.25" customHeight="1" x14ac:dyDescent="0.3">
      <c r="A60" s="15" t="s">
        <v>22</v>
      </c>
      <c r="B60" s="15">
        <f>COUNTIF($J$4:$J$37,"C12")</f>
        <v>13</v>
      </c>
    </row>
    <row r="61" spans="1:11" ht="14.25" customHeight="1" x14ac:dyDescent="0.3">
      <c r="A61" s="15" t="s">
        <v>24</v>
      </c>
      <c r="B61" s="15">
        <f>COUNTIF($J$4:$J$37,"C21")</f>
        <v>13</v>
      </c>
    </row>
    <row r="62" spans="1:11" ht="14.25" customHeight="1" x14ac:dyDescent="0.3">
      <c r="A62" s="15" t="s">
        <v>32</v>
      </c>
      <c r="B62" s="15">
        <f>COUNTIF($J$4:$J$37,"M1")</f>
        <v>5</v>
      </c>
    </row>
    <row r="63" spans="1:11" ht="14.25" customHeight="1" x14ac:dyDescent="0.3"/>
    <row r="64" spans="1:1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</sheetData>
  <autoFilter ref="A3:X31" xr:uid="{00000000-0009-0000-0000-000000000000}"/>
  <mergeCells count="68">
    <mergeCell ref="A59:B59"/>
    <mergeCell ref="A11:A13"/>
    <mergeCell ref="A14:A16"/>
    <mergeCell ref="A17:A21"/>
    <mergeCell ref="A22:A23"/>
    <mergeCell ref="A24:A25"/>
    <mergeCell ref="A26:A28"/>
    <mergeCell ref="A32:A37"/>
    <mergeCell ref="B52:K52"/>
    <mergeCell ref="B53:K53"/>
    <mergeCell ref="B54:K54"/>
    <mergeCell ref="B55:K55"/>
    <mergeCell ref="B56:K56"/>
    <mergeCell ref="A41:X41"/>
    <mergeCell ref="Y42:Y43"/>
    <mergeCell ref="Z42:Z43"/>
    <mergeCell ref="Z45:Z47"/>
    <mergeCell ref="A42:A43"/>
    <mergeCell ref="A45:A47"/>
    <mergeCell ref="N34:N35"/>
    <mergeCell ref="O34:O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B32:B33"/>
    <mergeCell ref="C32:C33"/>
    <mergeCell ref="D32:D33"/>
    <mergeCell ref="E32:E33"/>
    <mergeCell ref="F32:F33"/>
    <mergeCell ref="G32:G33"/>
    <mergeCell ref="H32:H33"/>
    <mergeCell ref="A6:A7"/>
    <mergeCell ref="A8:A10"/>
    <mergeCell ref="I32:I33"/>
    <mergeCell ref="J32:J33"/>
    <mergeCell ref="K32:K33"/>
    <mergeCell ref="A1:X1"/>
    <mergeCell ref="L2:O2"/>
    <mergeCell ref="Q2:T2"/>
    <mergeCell ref="U2:X2"/>
    <mergeCell ref="A4:A5"/>
    <mergeCell ref="N36:N37"/>
    <mergeCell ref="O36:O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</mergeCells>
  <conditionalFormatting sqref="C4:C32 C34:D34 C36:D36 C42:C47 E42:F47 J42:J47 C48:D50">
    <cfRule type="containsText" dxfId="5" priority="1" operator="containsText" text="no">
      <formula>NOT(ISERROR(SEARCH(("no"),(C4))))</formula>
    </cfRule>
    <cfRule type="containsText" dxfId="4" priority="2" operator="containsText" text="yes">
      <formula>NOT(ISERROR(SEARCH(("yes"),(C4))))</formula>
    </cfRule>
  </conditionalFormatting>
  <conditionalFormatting sqref="D32">
    <cfRule type="containsText" dxfId="3" priority="3" operator="containsText" text="no">
      <formula>NOT(ISERROR(SEARCH(("no"),(D32))))</formula>
    </cfRule>
    <cfRule type="containsText" dxfId="2" priority="4" operator="containsText" text="yes">
      <formula>NOT(ISERROR(SEARCH(("yes"),(D32))))</formula>
    </cfRule>
  </conditionalFormatting>
  <conditionalFormatting sqref="E48">
    <cfRule type="containsText" dxfId="1" priority="5" operator="containsText" text="no">
      <formula>NOT(ISERROR(SEARCH(("no"),(E48))))</formula>
    </cfRule>
    <cfRule type="containsText" dxfId="0" priority="6" operator="containsText" text="yes">
      <formula>NOT(ISERROR(SEARCH(("yes"),(E48))))</formula>
    </cfRule>
  </conditionalFormatting>
  <pageMargins left="0.7" right="0.7" top="0.75" bottom="0.75" header="0" footer="0"/>
  <pageSetup orientation="landscape"/>
  <headerFooter>
    <oddHeader>&amp;L000000 INTERNAL#_x000D_000000000000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Strnad</dc:creator>
  <cp:lastModifiedBy>Michal Strnad</cp:lastModifiedBy>
  <dcterms:created xsi:type="dcterms:W3CDTF">2015-06-05T18:19:34Z</dcterms:created>
  <dcterms:modified xsi:type="dcterms:W3CDTF">2026-04-22T07:46:26Z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0x010100CBDB6F3DDA3D354E8FEFC6D6B0D8031F</vt:lpwstr>
  </property>
</Properties>
</file>